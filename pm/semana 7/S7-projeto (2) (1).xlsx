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8_{D5814FED-4253-4768-8A32-0CECD8422AED}" xr6:coauthVersionLast="47" xr6:coauthVersionMax="47" xr10:uidLastSave="{00000000-0000-0000-0000-000000000000}"/>
  <bookViews>
    <workbookView xWindow="-110" yWindow="-110" windowWidth="19420" windowHeight="10300" xr2:uid="{00000000-000D-0000-FFFF-FFFF00000000}"/>
  </bookViews>
  <sheets>
    <sheet name="Cronograma" sheetId="12" r:id="rId1"/>
    <sheet name="Exemplo aplicado" sheetId="13" r:id="rId2"/>
  </sheets>
  <definedNames>
    <definedName name="Hoje" localSheetId="0">TODAY()</definedName>
    <definedName name="Hoje" localSheetId="1">TODAY()</definedName>
    <definedName name="Início_da_tarefa" localSheetId="0">Cronograma!$F1</definedName>
    <definedName name="Início_da_tarefa" localSheetId="1">'Exemplo aplicado'!$F1</definedName>
    <definedName name="Início_do_projeto" localSheetId="0">Cronograma!$F$3</definedName>
    <definedName name="Início_do_projeto" localSheetId="1">'Exemplo aplicado'!$F$3</definedName>
    <definedName name="Início_do_projeto">#REF!</definedName>
    <definedName name="Progresso_da_tarefa" localSheetId="0">Cronograma!$E1</definedName>
    <definedName name="Progresso_da_tarefa" localSheetId="1">'Exemplo aplicado'!$E1</definedName>
    <definedName name="Semana_de_exibição" localSheetId="0">Cronograma!$F$4</definedName>
    <definedName name="Semana_de_exibição" localSheetId="1">'Exemplo aplicado'!$F$4</definedName>
    <definedName name="Semana_de_exibição">#REF!</definedName>
    <definedName name="Término_da_tarefa" localSheetId="0">Cronograma!$G1</definedName>
    <definedName name="Término_da_tarefa" localSheetId="1">'Exemplo aplicado'!$G1</definedName>
    <definedName name="_xlnm.Print_Titles" localSheetId="0">Cronograma!$4:$6</definedName>
    <definedName name="_xlnm.Print_Titles" localSheetId="1">'Exemplo aplicado'!$4:$6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3" l="1"/>
  <c r="I10" i="13"/>
  <c r="I22" i="13"/>
  <c r="I21" i="13"/>
  <c r="I20" i="13"/>
  <c r="I19" i="13"/>
  <c r="I18" i="13"/>
  <c r="I17" i="13"/>
  <c r="I16" i="13"/>
  <c r="I15" i="13"/>
  <c r="I14" i="13"/>
  <c r="I12" i="13"/>
  <c r="I11" i="13"/>
  <c r="I9" i="13"/>
  <c r="I7" i="13"/>
  <c r="F3" i="13"/>
  <c r="J5" i="13" s="1"/>
  <c r="I12" i="12"/>
  <c r="I11" i="12"/>
  <c r="I10" i="12"/>
  <c r="I9" i="12"/>
  <c r="I8" i="12"/>
  <c r="I7" i="12"/>
  <c r="F3" i="12"/>
  <c r="J5" i="12" s="1"/>
  <c r="J6" i="13" l="1"/>
  <c r="J4" i="13"/>
  <c r="K5" i="13"/>
  <c r="J6" i="12"/>
  <c r="J4" i="12"/>
  <c r="K5" i="12"/>
  <c r="L5" i="13" l="1"/>
  <c r="K6" i="13"/>
  <c r="K6" i="12"/>
  <c r="L5" i="12"/>
  <c r="L6" i="13" l="1"/>
  <c r="M5" i="13"/>
  <c r="M5" i="12"/>
  <c r="L6" i="12"/>
  <c r="N5" i="13" l="1"/>
  <c r="M6" i="13"/>
  <c r="N5" i="12"/>
  <c r="M6" i="12"/>
  <c r="N6" i="13" l="1"/>
  <c r="O5" i="13"/>
  <c r="N6" i="12"/>
  <c r="O5" i="12"/>
  <c r="P5" i="13" l="1"/>
  <c r="O6" i="13"/>
  <c r="P5" i="12"/>
  <c r="O6" i="12"/>
  <c r="Q5" i="13" l="1"/>
  <c r="P6" i="13"/>
  <c r="Q5" i="12"/>
  <c r="P6" i="12"/>
  <c r="R5" i="13" l="1"/>
  <c r="Q6" i="13"/>
  <c r="Q4" i="13"/>
  <c r="R5" i="12"/>
  <c r="Q4" i="12"/>
  <c r="Q6" i="12"/>
  <c r="R6" i="13" l="1"/>
  <c r="S5" i="13"/>
  <c r="R6" i="12"/>
  <c r="S5" i="12"/>
  <c r="T5" i="13" l="1"/>
  <c r="S6" i="13"/>
  <c r="S6" i="12"/>
  <c r="T5" i="12"/>
  <c r="T6" i="13" l="1"/>
  <c r="U5" i="13"/>
  <c r="U5" i="12"/>
  <c r="T6" i="12"/>
  <c r="V5" i="13" l="1"/>
  <c r="U6" i="13"/>
  <c r="V5" i="12"/>
  <c r="U6" i="12"/>
  <c r="V6" i="13" l="1"/>
  <c r="W5" i="13"/>
  <c r="V6" i="12"/>
  <c r="W5" i="12"/>
  <c r="X5" i="13" l="1"/>
  <c r="W6" i="13"/>
  <c r="W6" i="12"/>
  <c r="X5" i="12"/>
  <c r="X4" i="13" l="1"/>
  <c r="Y5" i="13"/>
  <c r="X6" i="13"/>
  <c r="X4" i="12"/>
  <c r="Y5" i="12"/>
  <c r="X6" i="12"/>
  <c r="Z5" i="13" l="1"/>
  <c r="Y6" i="13"/>
  <c r="Z5" i="12"/>
  <c r="Y6" i="12"/>
  <c r="Z6" i="13" l="1"/>
  <c r="AA5" i="13"/>
  <c r="Z6" i="12"/>
  <c r="AA5" i="12"/>
  <c r="AB5" i="13" l="1"/>
  <c r="AA6" i="13"/>
  <c r="AB5" i="12"/>
  <c r="AA6" i="12"/>
  <c r="AB6" i="13" l="1"/>
  <c r="AC5" i="13"/>
  <c r="AC5" i="12"/>
  <c r="AB6" i="12"/>
  <c r="AD5" i="13" l="1"/>
  <c r="AC6" i="13"/>
  <c r="AD5" i="12"/>
  <c r="AC6" i="12"/>
  <c r="AD6" i="13" l="1"/>
  <c r="AE5" i="13"/>
  <c r="AD6" i="12"/>
  <c r="AE5" i="12"/>
  <c r="AE4" i="13" l="1"/>
  <c r="AF5" i="13"/>
  <c r="AE6" i="13"/>
  <c r="AE6" i="12"/>
  <c r="AE4" i="12"/>
  <c r="AF5" i="12"/>
  <c r="AG5" i="13" l="1"/>
  <c r="AF6" i="13"/>
  <c r="AG5" i="12"/>
  <c r="AF6" i="12"/>
  <c r="AH5" i="13" l="1"/>
  <c r="AG6" i="13"/>
  <c r="AH5" i="12"/>
  <c r="AG6" i="12"/>
  <c r="AH6" i="13" l="1"/>
  <c r="AI5" i="13"/>
  <c r="AH6" i="12"/>
  <c r="AI5" i="12"/>
  <c r="AJ5" i="13" l="1"/>
  <c r="AI6" i="13"/>
  <c r="AJ5" i="12"/>
  <c r="AI6" i="12"/>
  <c r="AJ6" i="13" l="1"/>
  <c r="AK5" i="13"/>
  <c r="AK5" i="12"/>
  <c r="AJ6" i="12"/>
  <c r="AL5" i="13" l="1"/>
  <c r="AK6" i="13"/>
  <c r="AL5" i="12"/>
  <c r="AK6" i="12"/>
  <c r="AL6" i="13" l="1"/>
  <c r="AL4" i="13"/>
  <c r="AM5" i="13"/>
  <c r="AL6" i="12"/>
  <c r="AL4" i="12"/>
  <c r="AM5" i="12"/>
  <c r="AN5" i="13" l="1"/>
  <c r="AM6" i="13"/>
  <c r="AM6" i="12"/>
  <c r="AN5" i="12"/>
  <c r="AO5" i="13" l="1"/>
  <c r="AN6" i="13"/>
  <c r="AO5" i="12"/>
  <c r="AN6" i="12"/>
  <c r="AP5" i="13" l="1"/>
  <c r="AO6" i="13"/>
  <c r="AP5" i="12"/>
  <c r="AO6" i="12"/>
  <c r="AP6" i="13" l="1"/>
  <c r="AQ5" i="13"/>
  <c r="AP6" i="12"/>
  <c r="AQ5" i="12"/>
  <c r="AR5" i="13" l="1"/>
  <c r="AQ6" i="13"/>
  <c r="AR5" i="12"/>
  <c r="AQ6" i="12"/>
  <c r="AR6" i="13" l="1"/>
  <c r="AS5" i="13"/>
  <c r="AS5" i="12"/>
  <c r="AR6" i="12"/>
  <c r="AT5" i="13" l="1"/>
  <c r="AS6" i="13"/>
  <c r="AS4" i="13"/>
  <c r="AT5" i="12"/>
  <c r="AS6" i="12"/>
  <c r="AS4" i="12"/>
  <c r="AT6" i="13" l="1"/>
  <c r="AU5" i="13"/>
  <c r="AT6" i="12"/>
  <c r="AU5" i="12"/>
  <c r="AV5" i="13" l="1"/>
  <c r="AU6" i="13"/>
  <c r="AU6" i="12"/>
  <c r="AV5" i="12"/>
  <c r="AW5" i="13" l="1"/>
  <c r="AV6" i="13"/>
  <c r="AW5" i="12"/>
  <c r="AV6" i="12"/>
  <c r="AX5" i="13" l="1"/>
  <c r="AW6" i="13"/>
  <c r="AX5" i="12"/>
  <c r="AW6" i="12"/>
  <c r="AX6" i="13" l="1"/>
  <c r="AY5" i="13"/>
  <c r="AX6" i="12"/>
  <c r="AY5" i="12"/>
  <c r="AZ5" i="13" l="1"/>
  <c r="AY6" i="13"/>
  <c r="AZ5" i="12"/>
  <c r="AY6" i="12"/>
  <c r="AZ6" i="13" l="1"/>
  <c r="BA5" i="13"/>
  <c r="AZ4" i="13"/>
  <c r="BA5" i="12"/>
  <c r="AZ6" i="12"/>
  <c r="AZ4" i="12"/>
  <c r="BB5" i="13" l="1"/>
  <c r="BA6" i="13"/>
  <c r="BB5" i="12"/>
  <c r="BA6" i="12"/>
  <c r="BB6" i="13" l="1"/>
  <c r="BC5" i="13"/>
  <c r="BB6" i="12"/>
  <c r="BC5" i="12"/>
  <c r="BD5" i="13" l="1"/>
  <c r="BC6" i="13"/>
  <c r="BC6" i="12"/>
  <c r="BD5" i="12"/>
  <c r="BD6" i="13" l="1"/>
  <c r="BE5" i="13"/>
  <c r="BE5" i="12"/>
  <c r="BD6" i="12"/>
  <c r="BF5" i="13" l="1"/>
  <c r="BE6" i="13"/>
  <c r="BF5" i="12"/>
  <c r="BE6" i="12"/>
  <c r="BF6" i="13" l="1"/>
  <c r="BG5" i="13"/>
  <c r="BF6" i="12"/>
  <c r="BG5" i="12"/>
  <c r="BH5" i="13" l="1"/>
  <c r="BG4" i="13"/>
  <c r="BG6" i="13"/>
  <c r="BG6" i="12"/>
  <c r="BG4" i="12"/>
  <c r="BH5" i="12"/>
  <c r="BI5" i="13" l="1"/>
  <c r="BH6" i="13"/>
  <c r="BI5" i="12"/>
  <c r="BH6" i="12"/>
  <c r="BJ5" i="13" l="1"/>
  <c r="BI6" i="13"/>
  <c r="BJ5" i="12"/>
  <c r="BI6" i="12"/>
  <c r="BJ6" i="13" l="1"/>
  <c r="BK5" i="13"/>
  <c r="BJ6" i="12"/>
  <c r="BK5" i="12"/>
  <c r="BL5" i="13" l="1"/>
  <c r="BK6" i="13"/>
  <c r="BL5" i="12"/>
  <c r="BK6" i="12"/>
  <c r="BM5" i="13" l="1"/>
  <c r="BM6" i="13" s="1"/>
  <c r="BL6" i="13"/>
  <c r="BM5" i="12"/>
  <c r="BM6" i="12" s="1"/>
  <c r="BL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tc={B1953FBC-D32C-421B-B70A-4DEB942E95FB}</author>
  </authors>
  <commentList>
    <comment ref="B1" authorId="0" shapeId="0" xr:uid="{B1953FBC-D32C-421B-B70A-4DEB942E95FB}">
      <text>
        <t>[Comentário encadeado]
Sua versão do Excel permite que você leia este comentário encadeado, no entanto, as edições serão removidas se o arquivo for aberto em uma versão mais recente do Excel. Saiba mais: https://go.microsoft.com/fwlink/?linkid=870924
Comentário:
    SEM DA</t>
      </text>
    </comment>
  </commentList>
</comments>
</file>

<file path=xl/sharedStrings.xml><?xml version="1.0" encoding="utf-8"?>
<sst xmlns="http://schemas.openxmlformats.org/spreadsheetml/2006/main" count="80" uniqueCount="62">
  <si>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</si>
  <si>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TÍTULO DO PROJETO</t>
  </si>
  <si>
    <t>Insira o Nome da empresa na célula B2.</t>
  </si>
  <si>
    <t>Nome da equipe</t>
  </si>
  <si>
    <t>Insira o nome do Líder do projeto na célula B3. Insira a data de Início do projeto na célula E3. Início do projeto: o rótulo está na célula C3.</t>
  </si>
  <si>
    <t>Data atual:</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</si>
  <si>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</si>
  <si>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</si>
  <si>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</si>
  <si>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</si>
  <si>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</si>
  <si>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</si>
  <si>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CUSTO</t>
  </si>
  <si>
    <t>PROGRESSO</t>
  </si>
  <si>
    <t>INÍCIO</t>
  </si>
  <si>
    <t>TÉRMINO</t>
  </si>
  <si>
    <t>DIAS</t>
  </si>
  <si>
    <t xml:space="preserve">Não exclua esta linha. Esta linha ficará oculta para preservar uma fórmula usada para realçar o dia atual no cronograma do projeto. </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</si>
  <si>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</si>
  <si>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</si>
  <si>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</si>
  <si>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</si>
  <si>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PROJETO DE FORMATURA DO CURSO TÉCNICO</t>
  </si>
  <si>
    <t>Escola Técnica XYZ</t>
  </si>
  <si>
    <t>Turma: 3º ano A</t>
  </si>
  <si>
    <t>Fase 1: Planejamento</t>
  </si>
  <si>
    <t>Definir tema da formatura</t>
  </si>
  <si>
    <t>João Pereira</t>
  </si>
  <si>
    <t>Alugar o local da cerimônia</t>
  </si>
  <si>
    <t>Ana Costa</t>
  </si>
  <si>
    <t>Contratar empresa de buffet</t>
  </si>
  <si>
    <t>Pedro Lima</t>
  </si>
  <si>
    <t>Design de convites</t>
  </si>
  <si>
    <t>Luana Souza</t>
  </si>
  <si>
    <t>Enviar convites</t>
  </si>
  <si>
    <t>Carla Martins</t>
  </si>
  <si>
    <t>Ensaios de cerimônia</t>
  </si>
  <si>
    <t>Marcos Silva</t>
  </si>
  <si>
    <t>Preparação de materiais de formatura</t>
  </si>
  <si>
    <t>Fernanda Oliveira</t>
  </si>
  <si>
    <t>Montar decoração</t>
  </si>
  <si>
    <t>Eduardo Santos</t>
  </si>
  <si>
    <t>Últimos ajustes e revisões</t>
  </si>
  <si>
    <t>Beatriz Almeida</t>
  </si>
  <si>
    <t>Cerimônia de formatura</t>
  </si>
  <si>
    <t>Toda a equipe</t>
  </si>
  <si>
    <t>Fase 3: Pós-cerimônia</t>
  </si>
  <si>
    <t>Limpeza e desmontagem</t>
  </si>
  <si>
    <t>Equipe de apoio</t>
  </si>
  <si>
    <t>Avaliação do evento</t>
  </si>
  <si>
    <t>Coordenação do curso</t>
  </si>
  <si>
    <r>
      <t xml:space="preserve">Fase 2: </t>
    </r>
    <r>
      <rPr>
        <b/>
        <sz val="9"/>
        <rFont val="Poppins"/>
      </rPr>
      <t>Pre</t>
    </r>
    <r>
      <rPr>
        <b/>
        <sz val="9"/>
        <color theme="1"/>
        <rFont val="Poppins"/>
      </rPr>
      <t>parativos finais</t>
    </r>
  </si>
  <si>
    <t>Ana Clara</t>
  </si>
  <si>
    <t>Evilyn Rossin</t>
  </si>
  <si>
    <t>Gustavo Honorato</t>
  </si>
  <si>
    <t>Yasmin Dias</t>
  </si>
  <si>
    <t>Dividir tarefas</t>
  </si>
  <si>
    <t>Escolher o tema da festa</t>
  </si>
  <si>
    <t xml:space="preserve">             Ryan Rodrigues</t>
  </si>
  <si>
    <t xml:space="preserve"> Escolher o local</t>
  </si>
  <si>
    <t>Definir como vai ser a formatura</t>
  </si>
  <si>
    <t xml:space="preserve"> Pesquisar ideias de formatura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</si>
</sst>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8" formatCode="&quot;R$&quot;\ #,##0.00;[Red]\-&quot;R$&quot;\ #,##0.00"/>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 numFmtId="169" formatCode="_-[$R$-416]\ * #,##0.00_-;\-[$R$-416]\ * #,##0.00_-;_-[$R$-416]\ * &quot;-&quot;??_-;_-@_-"/>
  </numFmts>
  <fonts count="37"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Poppins"/>
    </font>
    <font>
      <b/>
      <sz val="14"/>
      <color theme="1" tint="0.34998626667073579"/>
      <name val="Poppins"/>
    </font>
    <font>
      <sz val="12"/>
      <color theme="1"/>
      <name val="Poppins"/>
    </font>
    <font>
      <sz val="11"/>
      <name val="Poppins"/>
    </font>
    <font>
      <sz val="9"/>
      <name val="Poppins"/>
    </font>
    <font>
      <b/>
      <sz val="9"/>
      <color theme="0"/>
      <name val="Poppins"/>
    </font>
    <font>
      <sz val="8"/>
      <color theme="0"/>
      <name val="Poppins"/>
    </font>
    <font>
      <sz val="9"/>
      <color theme="0"/>
      <name val="Poppins"/>
    </font>
    <font>
      <b/>
      <sz val="9"/>
      <color theme="4" tint="-0.249977111117893"/>
      <name val="Poppins"/>
    </font>
    <font>
      <sz val="9"/>
      <color theme="1"/>
      <name val="Poppins"/>
    </font>
    <font>
      <b/>
      <sz val="9"/>
      <color theme="1"/>
      <name val="Poppins"/>
    </font>
    <font>
      <b/>
      <sz val="9"/>
      <name val="Poppins"/>
    </font>
  </fonts>
  <fills count="3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5">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0" fillId="0" borderId="0"/>
    <xf numFmtId="9" fontId="6" fillId="0" borderId="3" applyFont="0" applyFill="0" applyAlignment="0" applyProtection="0"/>
    <xf numFmtId="0" fontId="8"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65"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3" fillId="0" borderId="0" applyNumberFormat="0" applyFill="0" applyBorder="0" applyAlignment="0" applyProtection="0"/>
    <xf numFmtId="164"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14" fillId="0" borderId="0" applyNumberFormat="0" applyFill="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11" applyNumberFormat="0" applyAlignment="0" applyProtection="0"/>
    <xf numFmtId="0" fontId="19" fillId="10" borderId="12" applyNumberFormat="0" applyAlignment="0" applyProtection="0"/>
    <xf numFmtId="0" fontId="20" fillId="10" borderId="11" applyNumberFormat="0" applyAlignment="0" applyProtection="0"/>
    <xf numFmtId="0" fontId="21" fillId="0" borderId="13" applyNumberFormat="0" applyFill="0" applyAlignment="0" applyProtection="0"/>
    <xf numFmtId="0" fontId="22" fillId="11" borderId="14" applyNumberFormat="0" applyAlignment="0" applyProtection="0"/>
    <xf numFmtId="0" fontId="23" fillId="0" borderId="0" applyNumberFormat="0" applyFill="0" applyBorder="0" applyAlignment="0" applyProtection="0"/>
    <xf numFmtId="0" fontId="6" fillId="12" borderId="15" applyNumberFormat="0" applyFont="0" applyAlignment="0" applyProtection="0"/>
    <xf numFmtId="0" fontId="24" fillId="0" borderId="0" applyNumberFormat="0" applyFill="0" applyBorder="0" applyAlignment="0" applyProtection="0"/>
    <xf numFmtId="0" fontId="4" fillId="0" borderId="16" applyNumberFormat="0" applyFill="0" applyAlignment="0" applyProtection="0"/>
    <xf numFmtId="0" fontId="10"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0"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0"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0"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0"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0"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12" fillId="0" borderId="0"/>
  </cellStyleXfs>
  <cellXfs count="68">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5" fillId="5" borderId="1" xfId="0" applyFont="1" applyFill="1" applyBorder="1" applyAlignment="1">
      <alignment horizontal="center" vertical="center" wrapText="1"/>
    </xf>
    <xf numFmtId="0" fontId="9" fillId="0" borderId="0" xfId="1" applyFont="1" applyAlignment="1" applyProtection="1"/>
    <xf numFmtId="0" fontId="3" fillId="0" borderId="2" xfId="0" applyFont="1" applyBorder="1" applyAlignment="1">
      <alignment horizontal="center" vertical="center"/>
    </xf>
    <xf numFmtId="0" fontId="10" fillId="0" borderId="0" xfId="3"/>
    <xf numFmtId="0" fontId="0" fillId="0" borderId="10" xfId="0" applyBorder="1"/>
    <xf numFmtId="0" fontId="11" fillId="0" borderId="0" xfId="0" applyFont="1"/>
    <xf numFmtId="0" fontId="12" fillId="0" borderId="0" xfId="1" applyFont="1" applyProtection="1">
      <alignment vertical="top"/>
    </xf>
    <xf numFmtId="0" fontId="25" fillId="0" borderId="0" xfId="0" applyFont="1"/>
    <xf numFmtId="0" fontId="26" fillId="0" borderId="0" xfId="5" applyFont="1" applyAlignment="1">
      <alignment horizontal="left"/>
    </xf>
    <xf numFmtId="0" fontId="27" fillId="0" borderId="0" xfId="6" applyFont="1"/>
    <xf numFmtId="0" fontId="27" fillId="0" borderId="0" xfId="7" applyFont="1">
      <alignment vertical="top"/>
    </xf>
    <xf numFmtId="167" fontId="29" fillId="3" borderId="6" xfId="0" applyNumberFormat="1" applyFont="1" applyFill="1" applyBorder="1" applyAlignment="1">
      <alignment horizontal="center" vertical="center"/>
    </xf>
    <xf numFmtId="167" fontId="29" fillId="3" borderId="0" xfId="0" applyNumberFormat="1" applyFont="1" applyFill="1" applyAlignment="1">
      <alignment horizontal="center" vertical="center"/>
    </xf>
    <xf numFmtId="167" fontId="29" fillId="3" borderId="7" xfId="0" applyNumberFormat="1" applyFont="1" applyFill="1" applyBorder="1" applyAlignment="1">
      <alignment horizontal="center" vertical="center"/>
    </xf>
    <xf numFmtId="0" fontId="30" fillId="5" borderId="1" xfId="0" applyFont="1" applyFill="1" applyBorder="1" applyAlignment="1">
      <alignment horizontal="center" vertical="center" wrapText="1"/>
    </xf>
    <xf numFmtId="0" fontId="31" fillId="4" borderId="8" xfId="0" applyFont="1" applyFill="1" applyBorder="1" applyAlignment="1">
      <alignment horizontal="center" vertical="center" shrinkToFit="1"/>
    </xf>
    <xf numFmtId="0" fontId="25" fillId="0" borderId="9" xfId="0" applyFont="1" applyBorder="1" applyAlignment="1">
      <alignment vertical="center"/>
    </xf>
    <xf numFmtId="0" fontId="28" fillId="0" borderId="2" xfId="0" applyFont="1" applyBorder="1" applyAlignment="1">
      <alignment horizontal="center" vertical="center"/>
    </xf>
    <xf numFmtId="0" fontId="25" fillId="0" borderId="9" xfId="0" applyFont="1" applyBorder="1" applyAlignment="1">
      <alignment horizontal="right" vertical="center"/>
    </xf>
    <xf numFmtId="0" fontId="30" fillId="5" borderId="1" xfId="0" applyFont="1" applyFill="1" applyBorder="1" applyAlignment="1">
      <alignment horizontal="left" vertical="center" indent="1"/>
    </xf>
    <xf numFmtId="0" fontId="32" fillId="0" borderId="0" xfId="3" applyFont="1" applyAlignment="1">
      <alignment wrapText="1"/>
    </xf>
    <xf numFmtId="0" fontId="33" fillId="0" borderId="0" xfId="0" applyFont="1" applyAlignment="1">
      <alignment horizontal="left"/>
    </xf>
    <xf numFmtId="0" fontId="29" fillId="0" borderId="0" xfId="0" applyFont="1"/>
    <xf numFmtId="0" fontId="29" fillId="0" borderId="0" xfId="0" applyFont="1" applyAlignment="1">
      <alignment horizontal="center"/>
    </xf>
    <xf numFmtId="0" fontId="29" fillId="0" borderId="0" xfId="0" applyFont="1" applyAlignment="1">
      <alignment horizontal="center" vertical="center"/>
    </xf>
    <xf numFmtId="0" fontId="32" fillId="0" borderId="0" xfId="3" applyFont="1"/>
    <xf numFmtId="0" fontId="34" fillId="0" borderId="0" xfId="0" applyFont="1"/>
    <xf numFmtId="0" fontId="34" fillId="0" borderId="0" xfId="0" applyFont="1" applyAlignment="1">
      <alignment horizontal="center"/>
    </xf>
    <xf numFmtId="0" fontId="34" fillId="0" borderId="3" xfId="0" applyFont="1" applyBorder="1" applyAlignment="1">
      <alignment horizontal="center" vertical="center"/>
    </xf>
    <xf numFmtId="0" fontId="34" fillId="0" borderId="10" xfId="0" applyFont="1" applyBorder="1"/>
    <xf numFmtId="0" fontId="34" fillId="0" borderId="0" xfId="0" applyFont="1" applyAlignment="1">
      <alignment wrapText="1"/>
    </xf>
    <xf numFmtId="0" fontId="34" fillId="2" borderId="2" xfId="11" applyFont="1" applyFill="1">
      <alignment horizontal="center" vertical="center"/>
    </xf>
    <xf numFmtId="9" fontId="29" fillId="2" borderId="2" xfId="2" applyFont="1" applyFill="1" applyBorder="1" applyAlignment="1">
      <alignment horizontal="center" vertical="center"/>
    </xf>
    <xf numFmtId="0" fontId="34" fillId="2" borderId="2" xfId="12" applyFont="1" applyFill="1">
      <alignment horizontal="left" vertical="center" indent="2"/>
    </xf>
    <xf numFmtId="165" fontId="34" fillId="2" borderId="2" xfId="10" applyFont="1" applyFill="1">
      <alignment horizontal="center" vertical="center"/>
    </xf>
    <xf numFmtId="0" fontId="35" fillId="3" borderId="0" xfId="0" applyFont="1" applyFill="1" applyAlignment="1">
      <alignment vertical="center"/>
    </xf>
    <xf numFmtId="0" fontId="34" fillId="3" borderId="0" xfId="0" applyFont="1" applyFill="1" applyAlignment="1">
      <alignment vertical="center" wrapText="1"/>
    </xf>
    <xf numFmtId="0" fontId="34" fillId="3" borderId="0" xfId="0" applyFont="1" applyFill="1" applyAlignment="1">
      <alignment vertical="center"/>
    </xf>
    <xf numFmtId="0" fontId="0" fillId="3" borderId="0" xfId="0" applyFill="1" applyAlignment="1">
      <alignment vertical="center"/>
    </xf>
    <xf numFmtId="44" fontId="34" fillId="2" borderId="2" xfId="15" applyFont="1" applyFill="1" applyBorder="1" applyAlignment="1">
      <alignment horizontal="center" vertical="center"/>
    </xf>
    <xf numFmtId="0" fontId="33" fillId="0" borderId="0" xfId="0" applyFont="1" applyAlignment="1">
      <alignment horizontal="center"/>
    </xf>
    <xf numFmtId="0" fontId="34" fillId="0" borderId="10" xfId="0" applyFont="1" applyBorder="1" applyAlignment="1">
      <alignment horizontal="center"/>
    </xf>
    <xf numFmtId="0" fontId="34" fillId="0" borderId="0" xfId="0" applyFont="1" applyAlignment="1">
      <alignment horizontal="center" wrapText="1"/>
    </xf>
    <xf numFmtId="0" fontId="34" fillId="3" borderId="0" xfId="0" applyFont="1" applyFill="1" applyAlignment="1">
      <alignment horizontal="center" vertical="center" wrapText="1"/>
    </xf>
    <xf numFmtId="169" fontId="34" fillId="2" borderId="2" xfId="15" applyNumberFormat="1" applyFont="1" applyFill="1" applyBorder="1" applyAlignment="1">
      <alignment horizontal="center" vertical="center"/>
    </xf>
    <xf numFmtId="0" fontId="35" fillId="0" borderId="3" xfId="0" applyFont="1" applyBorder="1" applyAlignment="1">
      <alignment horizontal="center" vertical="center"/>
    </xf>
    <xf numFmtId="0" fontId="35" fillId="0" borderId="0" xfId="0" applyFont="1"/>
    <xf numFmtId="166" fontId="25" fillId="3" borderId="4" xfId="0" applyNumberFormat="1" applyFont="1" applyFill="1" applyBorder="1" applyAlignment="1">
      <alignment horizontal="left" vertical="center" wrapText="1" indent="1"/>
    </xf>
    <xf numFmtId="166" fontId="25" fillId="3" borderId="1" xfId="0" applyNumberFormat="1" applyFont="1" applyFill="1" applyBorder="1" applyAlignment="1">
      <alignment horizontal="left" vertical="center" wrapText="1" indent="1"/>
    </xf>
    <xf numFmtId="166" fontId="25" fillId="3" borderId="5" xfId="0" applyNumberFormat="1" applyFont="1" applyFill="1" applyBorder="1" applyAlignment="1">
      <alignment horizontal="left" vertical="center" wrapText="1" indent="1"/>
    </xf>
    <xf numFmtId="0" fontId="34" fillId="0" borderId="0" xfId="8" applyFont="1">
      <alignment horizontal="right" indent="1"/>
    </xf>
    <xf numFmtId="0" fontId="34" fillId="0" borderId="7" xfId="8" applyFont="1" applyBorder="1">
      <alignment horizontal="right" indent="1"/>
    </xf>
    <xf numFmtId="168" fontId="34" fillId="0" borderId="17" xfId="9" applyFont="1" applyBorder="1">
      <alignment horizontal="center" vertical="center"/>
    </xf>
    <xf numFmtId="168" fontId="34" fillId="0" borderId="18" xfId="9" applyFont="1" applyBorder="1">
      <alignment horizontal="center" vertical="center"/>
    </xf>
    <xf numFmtId="0" fontId="35" fillId="0" borderId="0" xfId="8" applyFont="1">
      <alignment horizontal="right" indent="1"/>
    </xf>
    <xf numFmtId="0" fontId="35" fillId="0" borderId="7" xfId="8" applyFont="1" applyBorder="1">
      <alignment horizontal="right" indent="1"/>
    </xf>
    <xf numFmtId="168" fontId="35" fillId="0" borderId="17" xfId="9" applyFont="1" applyBorder="1">
      <alignment horizontal="center" vertical="center"/>
    </xf>
    <xf numFmtId="168" fontId="35" fillId="0" borderId="18" xfId="9" applyFont="1" applyBorder="1">
      <alignment horizontal="center" vertical="center"/>
    </xf>
    <xf numFmtId="8" fontId="34" fillId="2" borderId="2" xfId="15" applyNumberFormat="1" applyFont="1" applyFill="1" applyBorder="1" applyAlignment="1">
      <alignment horizontal="center" vertical="center"/>
    </xf>
    <xf numFmtId="9" fontId="29" fillId="2" borderId="2" xfId="2" applyNumberFormat="1" applyFont="1" applyFill="1" applyBorder="1" applyAlignment="1">
      <alignment horizontal="center" vertical="center"/>
    </xf>
    <xf numFmtId="0" fontId="34" fillId="2" borderId="2" xfId="12" applyFont="1" applyFill="1" applyAlignment="1">
      <alignment horizontal="center" vertical="center"/>
    </xf>
    <xf numFmtId="0" fontId="34" fillId="2" borderId="2" xfId="12" applyFont="1" applyFill="1" applyAlignment="1">
      <alignment horizontal="right" vertical="center"/>
    </xf>
    <xf numFmtId="0" fontId="34" fillId="2" borderId="2" xfId="12" applyFont="1" applyFill="1" applyAlignment="1">
      <alignment horizontal="center"/>
    </xf>
    <xf numFmtId="0" fontId="0" fillId="2" borderId="0" xfId="0" applyFill="1" applyAlignment="1">
      <alignment horizontal="center" vertical="center"/>
    </xf>
  </cellXfs>
  <cellStyles count="55">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rmal 2" xfId="54" xr:uid="{428C5D58-1993-4F04-8B8E-9E5DD821753F}"/>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276225</xdr:colOff>
      <xdr:row>0</xdr:row>
      <xdr:rowOff>104775</xdr:rowOff>
    </xdr:from>
    <xdr:to>
      <xdr:col>6</xdr:col>
      <xdr:colOff>666750</xdr:colOff>
      <xdr:row>1</xdr:row>
      <xdr:rowOff>76200</xdr:rowOff>
    </xdr:to>
    <xdr:pic>
      <xdr:nvPicPr>
        <xdr:cNvPr id="2" name="Imagem 1" descr="Diretoria de Ensino – Região Centro Sul – Rua Dom Antonio Galvão, nº 95 –  Bairro Vila Gumercindo">
          <a:extLst>
            <a:ext uri="{FF2B5EF4-FFF2-40B4-BE49-F238E27FC236}">
              <a16:creationId xmlns:a16="http://schemas.microsoft.com/office/drawing/2014/main" id="{DA1FCA8D-14EB-4B06-851F-47E898120DD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2" t="24095" r="9828" b="26377"/>
        <a:stretch/>
      </xdr:blipFill>
      <xdr:spPr bwMode="auto">
        <a:xfrm>
          <a:off x="4876800" y="104775"/>
          <a:ext cx="18002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295275</xdr:rowOff>
    </xdr:from>
    <xdr:to>
      <xdr:col>1</xdr:col>
      <xdr:colOff>1828800</xdr:colOff>
      <xdr:row>3</xdr:row>
      <xdr:rowOff>333375</xdr:rowOff>
    </xdr:to>
    <xdr:pic>
      <xdr:nvPicPr>
        <xdr:cNvPr id="2" name="Imagem 1" descr="Diretoria de Ensino – Região Centro Sul – Rua Dom Antonio Galvão, nº 95 –  Bairro Vila Gumercindo">
          <a:extLst>
            <a:ext uri="{FF2B5EF4-FFF2-40B4-BE49-F238E27FC236}">
              <a16:creationId xmlns:a16="http://schemas.microsoft.com/office/drawing/2014/main" id="{6BF0A292-5A2D-4F24-893C-C4CB55259F4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2" t="24095" r="9828" b="26377"/>
        <a:stretch/>
      </xdr:blipFill>
      <xdr:spPr bwMode="auto">
        <a:xfrm>
          <a:off x="209550" y="971550"/>
          <a:ext cx="18002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4-11-12T19:31:24.96" personId="{00000000-0000-0000-0000-000000000000}" id="{B1953FBC-D32C-421B-B70A-4DEB942E95FB}">
    <text>SEM DA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A003-E4C0-4654-AD2C-158EFEA4AF92}">
  <sheetPr>
    <pageSetUpPr fitToPage="1"/>
  </sheetPr>
  <dimension ref="A1:BM18"/>
  <sheetViews>
    <sheetView showGridLines="0" tabSelected="1" showRuler="0" zoomScaleNormal="100" zoomScalePageLayoutView="70" workbookViewId="0">
      <pane ySplit="6" topLeftCell="A8" activePane="bottomLeft" state="frozen"/>
      <selection pane="bottomLeft" activeCell="B12" sqref="B12"/>
    </sheetView>
  </sheetViews>
  <sheetFormatPr defaultRowHeight="30" customHeight="1" x14ac:dyDescent="0.35"/>
  <cols>
    <col min="1" max="1" width="2.7265625" style="7" customWidth="1"/>
    <col min="2" max="2" width="35" customWidth="1"/>
    <col min="3" max="3" width="30.7265625" customWidth="1"/>
    <col min="4" max="4" width="15.7265625" customWidth="1"/>
    <col min="5" max="5" width="10.7265625" customWidth="1"/>
    <col min="6" max="6" width="10.36328125" style="3" customWidth="1"/>
    <col min="7" max="7" width="10.36328125" customWidth="1"/>
    <col min="8" max="8" width="2.7265625" customWidth="1"/>
    <col min="9" max="9" width="6.08984375" hidden="1" customWidth="1"/>
    <col min="10" max="65" width="2.6328125" customWidth="1"/>
  </cols>
  <sheetData>
    <row r="1" spans="1:65" ht="30" customHeight="1" x14ac:dyDescent="1.1499999999999999">
      <c r="A1" s="24" t="s">
        <v>0</v>
      </c>
      <c r="B1" s="12" t="s">
        <v>1</v>
      </c>
      <c r="C1" s="25"/>
      <c r="D1" s="25"/>
      <c r="E1" s="26"/>
      <c r="F1" s="27"/>
      <c r="G1" s="28"/>
      <c r="I1" s="1"/>
      <c r="J1" s="9"/>
    </row>
    <row r="2" spans="1:65" ht="23.25" customHeight="1" x14ac:dyDescent="0.95">
      <c r="A2" s="29" t="s">
        <v>2</v>
      </c>
      <c r="B2" s="13" t="s">
        <v>3</v>
      </c>
      <c r="C2" s="30"/>
      <c r="D2" s="30"/>
      <c r="E2" s="30"/>
      <c r="F2" s="31"/>
      <c r="G2" s="30"/>
      <c r="J2" s="10"/>
    </row>
    <row r="3" spans="1:65" ht="24.75" customHeight="1" x14ac:dyDescent="0.7">
      <c r="A3" s="29" t="s">
        <v>4</v>
      </c>
      <c r="B3" s="14"/>
      <c r="C3" s="54" t="s">
        <v>5</v>
      </c>
      <c r="D3" s="54"/>
      <c r="E3" s="55"/>
      <c r="F3" s="56">
        <f ca="1">TODAY()</f>
        <v>46119</v>
      </c>
      <c r="G3" s="57"/>
    </row>
    <row r="4" spans="1:65" ht="27.75" customHeight="1" x14ac:dyDescent="0.9">
      <c r="A4" s="24" t="s">
        <v>6</v>
      </c>
      <c r="B4" s="23"/>
      <c r="C4" s="54"/>
      <c r="D4" s="54"/>
      <c r="E4" s="55"/>
      <c r="F4" s="32">
        <v>1</v>
      </c>
      <c r="G4" s="30"/>
      <c r="I4" s="11"/>
      <c r="J4" s="51">
        <f ca="1">J5</f>
        <v>46118</v>
      </c>
      <c r="K4" s="52"/>
      <c r="L4" s="52"/>
      <c r="M4" s="52"/>
      <c r="N4" s="52"/>
      <c r="O4" s="52"/>
      <c r="P4" s="53"/>
      <c r="Q4" s="51">
        <f ca="1">Q5</f>
        <v>46125</v>
      </c>
      <c r="R4" s="52"/>
      <c r="S4" s="52"/>
      <c r="T4" s="52"/>
      <c r="U4" s="52"/>
      <c r="V4" s="52"/>
      <c r="W4" s="53"/>
      <c r="X4" s="51">
        <f ca="1">X5</f>
        <v>46132</v>
      </c>
      <c r="Y4" s="52"/>
      <c r="Z4" s="52"/>
      <c r="AA4" s="52"/>
      <c r="AB4" s="52"/>
      <c r="AC4" s="52"/>
      <c r="AD4" s="53"/>
      <c r="AE4" s="51">
        <f ca="1">AE5</f>
        <v>46139</v>
      </c>
      <c r="AF4" s="52"/>
      <c r="AG4" s="52"/>
      <c r="AH4" s="52"/>
      <c r="AI4" s="52"/>
      <c r="AJ4" s="52"/>
      <c r="AK4" s="53"/>
      <c r="AL4" s="51">
        <f ca="1">AL5</f>
        <v>46146</v>
      </c>
      <c r="AM4" s="52"/>
      <c r="AN4" s="52"/>
      <c r="AO4" s="52"/>
      <c r="AP4" s="52"/>
      <c r="AQ4" s="52"/>
      <c r="AR4" s="53"/>
      <c r="AS4" s="51">
        <f ca="1">AS5</f>
        <v>46153</v>
      </c>
      <c r="AT4" s="52"/>
      <c r="AU4" s="52"/>
      <c r="AV4" s="52"/>
      <c r="AW4" s="52"/>
      <c r="AX4" s="52"/>
      <c r="AY4" s="53"/>
      <c r="AZ4" s="51">
        <f ca="1">AZ5</f>
        <v>46160</v>
      </c>
      <c r="BA4" s="52"/>
      <c r="BB4" s="52"/>
      <c r="BC4" s="52"/>
      <c r="BD4" s="52"/>
      <c r="BE4" s="52"/>
      <c r="BF4" s="53"/>
      <c r="BG4" s="51">
        <f ca="1">BG5</f>
        <v>46167</v>
      </c>
      <c r="BH4" s="52"/>
      <c r="BI4" s="52"/>
      <c r="BJ4" s="52"/>
      <c r="BK4" s="52"/>
      <c r="BL4" s="52"/>
      <c r="BM4" s="53"/>
    </row>
    <row r="5" spans="1:65" ht="13.5" customHeight="1" x14ac:dyDescent="0.9">
      <c r="A5" s="24" t="s">
        <v>8</v>
      </c>
      <c r="B5" s="33"/>
      <c r="C5" s="33"/>
      <c r="D5" s="33"/>
      <c r="E5" s="33"/>
      <c r="F5" s="33"/>
      <c r="G5" s="33"/>
      <c r="H5" s="8"/>
      <c r="I5" s="11"/>
      <c r="J5" s="15">
        <f ca="1">Início_do_projeto-WEEKDAY(Início_do_projeto,1)+2+7*(Semana_de_exibição-1)</f>
        <v>46118</v>
      </c>
      <c r="K5" s="16">
        <f ca="1">J5+1</f>
        <v>46119</v>
      </c>
      <c r="L5" s="16">
        <f t="shared" ref="L5:AY5" ca="1" si="0">K5+1</f>
        <v>46120</v>
      </c>
      <c r="M5" s="16">
        <f t="shared" ca="1" si="0"/>
        <v>46121</v>
      </c>
      <c r="N5" s="16">
        <f t="shared" ca="1" si="0"/>
        <v>46122</v>
      </c>
      <c r="O5" s="16">
        <f t="shared" ca="1" si="0"/>
        <v>46123</v>
      </c>
      <c r="P5" s="17">
        <f t="shared" ca="1" si="0"/>
        <v>46124</v>
      </c>
      <c r="Q5" s="15">
        <f ca="1">P5+1</f>
        <v>46125</v>
      </c>
      <c r="R5" s="16">
        <f ca="1">Q5+1</f>
        <v>46126</v>
      </c>
      <c r="S5" s="16">
        <f t="shared" ca="1" si="0"/>
        <v>46127</v>
      </c>
      <c r="T5" s="16">
        <f t="shared" ca="1" si="0"/>
        <v>46128</v>
      </c>
      <c r="U5" s="16">
        <f t="shared" ca="1" si="0"/>
        <v>46129</v>
      </c>
      <c r="V5" s="16">
        <f t="shared" ca="1" si="0"/>
        <v>46130</v>
      </c>
      <c r="W5" s="17">
        <f t="shared" ca="1" si="0"/>
        <v>46131</v>
      </c>
      <c r="X5" s="15">
        <f ca="1">W5+1</f>
        <v>46132</v>
      </c>
      <c r="Y5" s="16">
        <f ca="1">X5+1</f>
        <v>46133</v>
      </c>
      <c r="Z5" s="16">
        <f t="shared" ca="1" si="0"/>
        <v>46134</v>
      </c>
      <c r="AA5" s="16">
        <f t="shared" ca="1" si="0"/>
        <v>46135</v>
      </c>
      <c r="AB5" s="16">
        <f t="shared" ca="1" si="0"/>
        <v>46136</v>
      </c>
      <c r="AC5" s="16">
        <f t="shared" ca="1" si="0"/>
        <v>46137</v>
      </c>
      <c r="AD5" s="17">
        <f t="shared" ca="1" si="0"/>
        <v>46138</v>
      </c>
      <c r="AE5" s="15">
        <f ca="1">AD5+1</f>
        <v>46139</v>
      </c>
      <c r="AF5" s="16">
        <f ca="1">AE5+1</f>
        <v>46140</v>
      </c>
      <c r="AG5" s="16">
        <f t="shared" ca="1" si="0"/>
        <v>46141</v>
      </c>
      <c r="AH5" s="16">
        <f t="shared" ca="1" si="0"/>
        <v>46142</v>
      </c>
      <c r="AI5" s="16">
        <f t="shared" ca="1" si="0"/>
        <v>46143</v>
      </c>
      <c r="AJ5" s="16">
        <f t="shared" ca="1" si="0"/>
        <v>46144</v>
      </c>
      <c r="AK5" s="17">
        <f t="shared" ca="1" si="0"/>
        <v>46145</v>
      </c>
      <c r="AL5" s="15">
        <f ca="1">AK5+1</f>
        <v>46146</v>
      </c>
      <c r="AM5" s="16">
        <f ca="1">AL5+1</f>
        <v>46147</v>
      </c>
      <c r="AN5" s="16">
        <f t="shared" ca="1" si="0"/>
        <v>46148</v>
      </c>
      <c r="AO5" s="16">
        <f t="shared" ca="1" si="0"/>
        <v>46149</v>
      </c>
      <c r="AP5" s="16">
        <f t="shared" ca="1" si="0"/>
        <v>46150</v>
      </c>
      <c r="AQ5" s="16">
        <f t="shared" ca="1" si="0"/>
        <v>46151</v>
      </c>
      <c r="AR5" s="17">
        <f t="shared" ca="1" si="0"/>
        <v>46152</v>
      </c>
      <c r="AS5" s="15">
        <f ca="1">AR5+1</f>
        <v>46153</v>
      </c>
      <c r="AT5" s="16">
        <f ca="1">AS5+1</f>
        <v>46154</v>
      </c>
      <c r="AU5" s="16">
        <f t="shared" ca="1" si="0"/>
        <v>46155</v>
      </c>
      <c r="AV5" s="16">
        <f t="shared" ca="1" si="0"/>
        <v>46156</v>
      </c>
      <c r="AW5" s="16">
        <f t="shared" ca="1" si="0"/>
        <v>46157</v>
      </c>
      <c r="AX5" s="16">
        <f t="shared" ca="1" si="0"/>
        <v>46158</v>
      </c>
      <c r="AY5" s="17">
        <f t="shared" ca="1" si="0"/>
        <v>46159</v>
      </c>
      <c r="AZ5" s="15">
        <f ca="1">AY5+1</f>
        <v>46160</v>
      </c>
      <c r="BA5" s="16">
        <f ca="1">AZ5+1</f>
        <v>46161</v>
      </c>
      <c r="BB5" s="16">
        <f t="shared" ref="BB5:BF5" ca="1" si="1">BA5+1</f>
        <v>46162</v>
      </c>
      <c r="BC5" s="16">
        <f t="shared" ca="1" si="1"/>
        <v>46163</v>
      </c>
      <c r="BD5" s="16">
        <f t="shared" ca="1" si="1"/>
        <v>46164</v>
      </c>
      <c r="BE5" s="16">
        <f t="shared" ca="1" si="1"/>
        <v>46165</v>
      </c>
      <c r="BF5" s="17">
        <f t="shared" ca="1" si="1"/>
        <v>46166</v>
      </c>
      <c r="BG5" s="15">
        <f ca="1">BF5+1</f>
        <v>46167</v>
      </c>
      <c r="BH5" s="16">
        <f ca="1">BG5+1</f>
        <v>46168</v>
      </c>
      <c r="BI5" s="16">
        <f t="shared" ref="BI5:BM5" ca="1" si="2">BH5+1</f>
        <v>46169</v>
      </c>
      <c r="BJ5" s="16">
        <f t="shared" ca="1" si="2"/>
        <v>46170</v>
      </c>
      <c r="BK5" s="16">
        <f t="shared" ca="1" si="2"/>
        <v>46171</v>
      </c>
      <c r="BL5" s="16">
        <f t="shared" ca="1" si="2"/>
        <v>46172</v>
      </c>
      <c r="BM5" s="17">
        <f t="shared" ca="1" si="2"/>
        <v>46173</v>
      </c>
    </row>
    <row r="6" spans="1:65" ht="30" customHeight="1" thickBot="1" x14ac:dyDescent="0.75">
      <c r="A6" s="24" t="s">
        <v>9</v>
      </c>
      <c r="B6" s="23" t="s">
        <v>10</v>
      </c>
      <c r="C6" s="18" t="s">
        <v>11</v>
      </c>
      <c r="D6" s="18" t="s">
        <v>12</v>
      </c>
      <c r="E6" s="18" t="s">
        <v>13</v>
      </c>
      <c r="F6" s="18" t="s">
        <v>14</v>
      </c>
      <c r="G6" s="18" t="s">
        <v>15</v>
      </c>
      <c r="H6" s="4"/>
      <c r="I6" s="18" t="s">
        <v>16</v>
      </c>
      <c r="J6" s="19" t="str">
        <f t="shared" ref="J6:BM6" ca="1" si="3">LEFT(TEXT(J5,"ddd"),1)</f>
        <v>s</v>
      </c>
      <c r="K6" s="19" t="str">
        <f t="shared" ca="1" si="3"/>
        <v>t</v>
      </c>
      <c r="L6" s="19" t="str">
        <f t="shared" ca="1" si="3"/>
        <v>q</v>
      </c>
      <c r="M6" s="19" t="str">
        <f t="shared" ca="1" si="3"/>
        <v>q</v>
      </c>
      <c r="N6" s="19" t="str">
        <f t="shared" ca="1" si="3"/>
        <v>s</v>
      </c>
      <c r="O6" s="19" t="str">
        <f t="shared" ca="1" si="3"/>
        <v>s</v>
      </c>
      <c r="P6" s="19" t="str">
        <f t="shared" ca="1" si="3"/>
        <v>d</v>
      </c>
      <c r="Q6" s="19" t="str">
        <f t="shared" ca="1" si="3"/>
        <v>s</v>
      </c>
      <c r="R6" s="19" t="str">
        <f t="shared" ca="1" si="3"/>
        <v>t</v>
      </c>
      <c r="S6" s="19" t="str">
        <f t="shared" ca="1" si="3"/>
        <v>q</v>
      </c>
      <c r="T6" s="19" t="str">
        <f t="shared" ca="1" si="3"/>
        <v>q</v>
      </c>
      <c r="U6" s="19" t="str">
        <f t="shared" ca="1" si="3"/>
        <v>s</v>
      </c>
      <c r="V6" s="19" t="str">
        <f t="shared" ca="1" si="3"/>
        <v>s</v>
      </c>
      <c r="W6" s="19" t="str">
        <f t="shared" ca="1" si="3"/>
        <v>d</v>
      </c>
      <c r="X6" s="19" t="str">
        <f t="shared" ca="1" si="3"/>
        <v>s</v>
      </c>
      <c r="Y6" s="19" t="str">
        <f t="shared" ca="1" si="3"/>
        <v>t</v>
      </c>
      <c r="Z6" s="19" t="str">
        <f t="shared" ca="1" si="3"/>
        <v>q</v>
      </c>
      <c r="AA6" s="19" t="str">
        <f t="shared" ca="1" si="3"/>
        <v>q</v>
      </c>
      <c r="AB6" s="19" t="str">
        <f t="shared" ca="1" si="3"/>
        <v>s</v>
      </c>
      <c r="AC6" s="19" t="str">
        <f t="shared" ca="1" si="3"/>
        <v>s</v>
      </c>
      <c r="AD6" s="19" t="str">
        <f t="shared" ca="1" si="3"/>
        <v>d</v>
      </c>
      <c r="AE6" s="19" t="str">
        <f t="shared" ca="1" si="3"/>
        <v>s</v>
      </c>
      <c r="AF6" s="19" t="str">
        <f t="shared" ca="1" si="3"/>
        <v>t</v>
      </c>
      <c r="AG6" s="19" t="str">
        <f t="shared" ca="1" si="3"/>
        <v>q</v>
      </c>
      <c r="AH6" s="19" t="str">
        <f t="shared" ca="1" si="3"/>
        <v>q</v>
      </c>
      <c r="AI6" s="19" t="str">
        <f t="shared" ca="1" si="3"/>
        <v>s</v>
      </c>
      <c r="AJ6" s="19" t="str">
        <f t="shared" ca="1" si="3"/>
        <v>s</v>
      </c>
      <c r="AK6" s="19" t="str">
        <f t="shared" ca="1" si="3"/>
        <v>d</v>
      </c>
      <c r="AL6" s="19" t="str">
        <f t="shared" ca="1" si="3"/>
        <v>s</v>
      </c>
      <c r="AM6" s="19" t="str">
        <f t="shared" ca="1" si="3"/>
        <v>t</v>
      </c>
      <c r="AN6" s="19" t="str">
        <f t="shared" ca="1" si="3"/>
        <v>q</v>
      </c>
      <c r="AO6" s="19" t="str">
        <f t="shared" ca="1" si="3"/>
        <v>q</v>
      </c>
      <c r="AP6" s="19" t="str">
        <f t="shared" ca="1" si="3"/>
        <v>s</v>
      </c>
      <c r="AQ6" s="19" t="str">
        <f t="shared" ca="1" si="3"/>
        <v>s</v>
      </c>
      <c r="AR6" s="19" t="str">
        <f t="shared" ca="1" si="3"/>
        <v>d</v>
      </c>
      <c r="AS6" s="19" t="str">
        <f t="shared" ca="1" si="3"/>
        <v>s</v>
      </c>
      <c r="AT6" s="19" t="str">
        <f t="shared" ca="1" si="3"/>
        <v>t</v>
      </c>
      <c r="AU6" s="19" t="str">
        <f t="shared" ca="1" si="3"/>
        <v>q</v>
      </c>
      <c r="AV6" s="19" t="str">
        <f t="shared" ca="1" si="3"/>
        <v>q</v>
      </c>
      <c r="AW6" s="19" t="str">
        <f t="shared" ca="1" si="3"/>
        <v>s</v>
      </c>
      <c r="AX6" s="19" t="str">
        <f t="shared" ca="1" si="3"/>
        <v>s</v>
      </c>
      <c r="AY6" s="19" t="str">
        <f t="shared" ca="1" si="3"/>
        <v>d</v>
      </c>
      <c r="AZ6" s="19" t="str">
        <f t="shared" ca="1" si="3"/>
        <v>s</v>
      </c>
      <c r="BA6" s="19" t="str">
        <f t="shared" ca="1" si="3"/>
        <v>t</v>
      </c>
      <c r="BB6" s="19" t="str">
        <f t="shared" ca="1" si="3"/>
        <v>q</v>
      </c>
      <c r="BC6" s="19" t="str">
        <f t="shared" ca="1" si="3"/>
        <v>q</v>
      </c>
      <c r="BD6" s="19" t="str">
        <f t="shared" ca="1" si="3"/>
        <v>s</v>
      </c>
      <c r="BE6" s="19" t="str">
        <f t="shared" ca="1" si="3"/>
        <v>s</v>
      </c>
      <c r="BF6" s="19" t="str">
        <f t="shared" ca="1" si="3"/>
        <v>d</v>
      </c>
      <c r="BG6" s="19" t="str">
        <f t="shared" ca="1" si="3"/>
        <v>s</v>
      </c>
      <c r="BH6" s="19" t="str">
        <f t="shared" ca="1" si="3"/>
        <v>t</v>
      </c>
      <c r="BI6" s="19" t="str">
        <f t="shared" ca="1" si="3"/>
        <v>q</v>
      </c>
      <c r="BJ6" s="19" t="str">
        <f t="shared" ca="1" si="3"/>
        <v>q</v>
      </c>
      <c r="BK6" s="19" t="str">
        <f t="shared" ca="1" si="3"/>
        <v>s</v>
      </c>
      <c r="BL6" s="19" t="str">
        <f t="shared" ca="1" si="3"/>
        <v>s</v>
      </c>
      <c r="BM6" s="19" t="str">
        <f t="shared" ca="1" si="3"/>
        <v>d</v>
      </c>
    </row>
    <row r="7" spans="1:65" ht="5.15" customHeight="1" thickBot="1" x14ac:dyDescent="0.95">
      <c r="A7" s="29" t="s">
        <v>17</v>
      </c>
      <c r="B7" s="30"/>
      <c r="C7" s="34"/>
      <c r="D7" s="34"/>
      <c r="E7" s="30"/>
      <c r="F7" s="30"/>
      <c r="G7" s="30"/>
      <c r="I7" s="11" t="str">
        <f>IF(OR(ISBLANK(Início_da_tarefa),ISBLANK(Término_da_tarefa)),"",Término_da_tarefa-Início_da_tarefa+1)</f>
        <v/>
      </c>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2" customFormat="1" ht="30" customHeight="1" thickBot="1" x14ac:dyDescent="0.75">
      <c r="A8" s="24" t="s">
        <v>18</v>
      </c>
      <c r="B8" s="66" t="s">
        <v>61</v>
      </c>
      <c r="C8" s="35" t="s">
        <v>52</v>
      </c>
      <c r="D8" s="62">
        <v>50</v>
      </c>
      <c r="E8" s="36">
        <v>1</v>
      </c>
      <c r="F8" s="38">
        <v>45635</v>
      </c>
      <c r="G8" s="38">
        <v>45641</v>
      </c>
      <c r="H8" s="6"/>
      <c r="I8" s="21">
        <f t="shared" ref="I8:I12" si="4">IF(OR(ISBLANK(Início_da_tarefa),ISBLANK(Término_da_tarefa)),"",Término_da_tarefa-Início_da_tarefa+1)</f>
        <v>7</v>
      </c>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2" customFormat="1" ht="30" customHeight="1" thickBot="1" x14ac:dyDescent="0.75">
      <c r="A9" s="24" t="s">
        <v>19</v>
      </c>
      <c r="B9" s="65" t="s">
        <v>60</v>
      </c>
      <c r="C9" s="35" t="s">
        <v>53</v>
      </c>
      <c r="D9" s="62">
        <v>0</v>
      </c>
      <c r="E9" s="36">
        <v>1</v>
      </c>
      <c r="F9" s="38">
        <v>45642</v>
      </c>
      <c r="G9" s="38">
        <v>45643</v>
      </c>
      <c r="H9" s="6"/>
      <c r="I9" s="21">
        <f t="shared" si="4"/>
        <v>2</v>
      </c>
      <c r="J9" s="20"/>
      <c r="K9" s="20"/>
      <c r="L9" s="20"/>
      <c r="M9" s="20"/>
      <c r="N9" s="20"/>
      <c r="O9" s="20"/>
      <c r="P9" s="20"/>
      <c r="Q9" s="20"/>
      <c r="R9" s="20"/>
      <c r="S9" s="20"/>
      <c r="T9" s="20"/>
      <c r="U9" s="20"/>
      <c r="V9" s="22"/>
      <c r="W9" s="22"/>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2" customFormat="1" ht="30" customHeight="1" thickBot="1" x14ac:dyDescent="0.75">
      <c r="A10" s="29"/>
      <c r="B10" s="64" t="s">
        <v>59</v>
      </c>
      <c r="C10" s="35" t="s">
        <v>54</v>
      </c>
      <c r="D10" s="62">
        <v>1000</v>
      </c>
      <c r="E10" s="36">
        <v>0.5</v>
      </c>
      <c r="F10" s="38">
        <v>45644</v>
      </c>
      <c r="G10" s="38">
        <v>45646</v>
      </c>
      <c r="H10" s="6"/>
      <c r="I10" s="21">
        <f t="shared" si="4"/>
        <v>3</v>
      </c>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2" customFormat="1" ht="30" customHeight="1" thickBot="1" x14ac:dyDescent="0.75">
      <c r="A11" s="29"/>
      <c r="B11" s="67" t="s">
        <v>57</v>
      </c>
      <c r="C11" s="37" t="s">
        <v>58</v>
      </c>
      <c r="D11" s="62">
        <v>100</v>
      </c>
      <c r="E11" s="63">
        <v>0.5</v>
      </c>
      <c r="F11" s="38">
        <v>45647</v>
      </c>
      <c r="G11" s="38">
        <v>45647</v>
      </c>
      <c r="H11" s="6"/>
      <c r="I11" s="21">
        <f t="shared" si="4"/>
        <v>1</v>
      </c>
      <c r="J11" s="20"/>
      <c r="K11" s="20"/>
      <c r="L11" s="20"/>
      <c r="M11" s="20"/>
      <c r="N11" s="20"/>
      <c r="O11" s="20"/>
      <c r="P11" s="20"/>
      <c r="Q11" s="20"/>
      <c r="R11" s="20"/>
      <c r="S11" s="20"/>
      <c r="T11" s="20"/>
      <c r="U11" s="20"/>
      <c r="V11" s="20"/>
      <c r="W11" s="20"/>
      <c r="X11" s="20"/>
      <c r="Y11" s="20"/>
      <c r="Z11" s="22"/>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2" customFormat="1" ht="30" customHeight="1" thickBot="1" x14ac:dyDescent="0.75">
      <c r="A12" s="29"/>
      <c r="B12" s="64" t="s">
        <v>56</v>
      </c>
      <c r="C12" s="35" t="s">
        <v>55</v>
      </c>
      <c r="D12" s="62">
        <v>0</v>
      </c>
      <c r="E12" s="63">
        <v>1</v>
      </c>
      <c r="F12" s="38">
        <v>45649</v>
      </c>
      <c r="G12" s="38">
        <v>45649</v>
      </c>
      <c r="H12" s="6"/>
      <c r="I12" s="21">
        <f t="shared" si="4"/>
        <v>1</v>
      </c>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2" customFormat="1" ht="30" customHeight="1" x14ac:dyDescent="0.7">
      <c r="A13" s="24" t="s">
        <v>20</v>
      </c>
    </row>
    <row r="14" spans="1:65" s="2" customFormat="1" ht="30" customHeight="1" x14ac:dyDescent="0.7">
      <c r="A14" s="24"/>
    </row>
    <row r="15" spans="1:65" s="2" customFormat="1" ht="30" customHeight="1" x14ac:dyDescent="0.7">
      <c r="A15" s="29"/>
    </row>
    <row r="16" spans="1:65" s="2" customFormat="1" ht="30" customHeight="1" x14ac:dyDescent="0.7">
      <c r="A16" s="29"/>
    </row>
    <row r="17" spans="3:6" ht="30" customHeight="1" x14ac:dyDescent="0.35">
      <c r="F17"/>
    </row>
    <row r="18" spans="3:6" ht="30" customHeight="1" x14ac:dyDescent="0.35">
      <c r="C18" s="5"/>
      <c r="D18" s="5"/>
    </row>
  </sheetData>
  <mergeCells count="11">
    <mergeCell ref="AE4:AK4"/>
    <mergeCell ref="AL4:AR4"/>
    <mergeCell ref="AS4:AY4"/>
    <mergeCell ref="AZ4:BF4"/>
    <mergeCell ref="BG4:BM4"/>
    <mergeCell ref="X4:AD4"/>
    <mergeCell ref="C3:E3"/>
    <mergeCell ref="F3:G3"/>
    <mergeCell ref="C4:E4"/>
    <mergeCell ref="J4:P4"/>
    <mergeCell ref="Q4:W4"/>
  </mergeCells>
  <conditionalFormatting sqref="E7:E12">
    <cfRule type="dataBar" priority="1">
      <dataBar>
        <cfvo type="num" val="0"/>
        <cfvo type="num" val="1"/>
        <color theme="0" tint="-0.249977111117893"/>
      </dataBar>
      <extLst>
        <ext xmlns:x14="http://schemas.microsoft.com/office/spreadsheetml/2009/9/main" uri="{B025F937-C7B1-47D3-B67F-A62EFF666E3E}">
          <x14:id>{A8D3A74B-885D-4EEA-B026-80DC206F7EF0}</x14:id>
        </ext>
      </extLst>
    </cfRule>
  </conditionalFormatting>
  <conditionalFormatting sqref="J5:BM12">
    <cfRule type="expression" dxfId="5" priority="4">
      <formula>AND(TODAY()&gt;=J$5,TODAY()&lt;K$5)</formula>
    </cfRule>
  </conditionalFormatting>
  <conditionalFormatting sqref="J7:BM12">
    <cfRule type="expression" dxfId="4" priority="2">
      <formula>AND(Início_da_tarefa&lt;=J$5,ROUNDDOWN((Término_da_tarefa-Início_da_tarefa+1)*Progresso_da_tarefa,0)+Início_da_tarefa-1&gt;=J$5)</formula>
    </cfRule>
    <cfRule type="expression" dxfId="3" priority="3" stopIfTrue="1">
      <formula>AND(Término_da_tarefa&gt;=J$5,Início_da_tarefa&lt;K$5)</formula>
    </cfRule>
  </conditionalFormatting>
  <dataValidations count="1">
    <dataValidation type="whole" operator="greaterThanOrEqual" allowBlank="1" showInputMessage="1" promptTitle="Semana de exibição" prompt="Alterar esse número rola a exibição do Gráfico de Gantt." sqref="F4" xr:uid="{B9331DF4-D772-4FB1-9B97-3BE7498E2762}">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A8D3A74B-885D-4EEA-B026-80DC206F7EF0}">
            <x14:dataBar minLength="0" maxLength="100" gradient="0">
              <x14:cfvo type="num">
                <xm:f>0</xm:f>
              </x14:cfvo>
              <x14:cfvo type="num">
                <xm:f>1</xm:f>
              </x14:cfvo>
              <x14:negativeFillColor rgb="FFFF0000"/>
              <x14:axisColor rgb="FF000000"/>
            </x14:dataBar>
          </x14:cfRule>
          <xm:sqref>E7:E12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E8B0-DD58-4C9C-BE83-759D4668FE24}">
  <sheetPr>
    <pageSetUpPr fitToPage="1"/>
  </sheetPr>
  <dimension ref="A1:BM22"/>
  <sheetViews>
    <sheetView showGridLines="0" showRuler="0" zoomScaleNormal="100" zoomScalePageLayoutView="70" workbookViewId="0">
      <selection activeCell="B14" sqref="B14"/>
    </sheetView>
  </sheetViews>
  <sheetFormatPr defaultRowHeight="30" customHeight="1" x14ac:dyDescent="0.35"/>
  <cols>
    <col min="1" max="1" width="2.7265625" style="7" customWidth="1"/>
    <col min="2" max="2" width="36.7265625" customWidth="1"/>
    <col min="3" max="3" width="19.7265625" customWidth="1"/>
    <col min="4" max="4" width="21" style="3" customWidth="1"/>
    <col min="5" max="5" width="11" bestFit="1" customWidth="1"/>
    <col min="6" max="6" width="8.6328125" style="3" bestFit="1" customWidth="1"/>
    <col min="7" max="7" width="8.7265625" bestFit="1" customWidth="1"/>
    <col min="8" max="8" width="2.7265625" customWidth="1"/>
    <col min="9" max="9" width="6.08984375" hidden="1" customWidth="1"/>
    <col min="10" max="65" width="2.6328125" customWidth="1"/>
  </cols>
  <sheetData>
    <row r="1" spans="1:65" ht="30" customHeight="1" x14ac:dyDescent="1.1499999999999999">
      <c r="A1" s="24" t="s">
        <v>0</v>
      </c>
      <c r="B1" s="12" t="s">
        <v>22</v>
      </c>
      <c r="C1" s="25"/>
      <c r="D1" s="44"/>
      <c r="E1" s="26"/>
      <c r="F1" s="27"/>
      <c r="G1" s="28"/>
      <c r="I1" s="1"/>
      <c r="J1" s="9"/>
    </row>
    <row r="2" spans="1:65" ht="23.25" customHeight="1" x14ac:dyDescent="0.95">
      <c r="A2" s="29" t="s">
        <v>2</v>
      </c>
      <c r="B2" s="13" t="s">
        <v>23</v>
      </c>
      <c r="C2" s="30"/>
      <c r="D2" s="31"/>
      <c r="E2" s="30"/>
      <c r="F2" s="31"/>
      <c r="G2" s="30"/>
      <c r="J2" s="10"/>
    </row>
    <row r="3" spans="1:65" ht="24.75" customHeight="1" x14ac:dyDescent="0.7">
      <c r="A3" s="29" t="s">
        <v>4</v>
      </c>
      <c r="B3" s="14" t="s">
        <v>24</v>
      </c>
      <c r="C3" s="58" t="s">
        <v>5</v>
      </c>
      <c r="D3" s="58"/>
      <c r="E3" s="59"/>
      <c r="F3" s="60">
        <f ca="1">TODAY()</f>
        <v>46119</v>
      </c>
      <c r="G3" s="61"/>
    </row>
    <row r="4" spans="1:65" ht="27.75" customHeight="1" x14ac:dyDescent="0.9">
      <c r="A4" s="24" t="s">
        <v>6</v>
      </c>
      <c r="B4" s="30"/>
      <c r="C4" s="58" t="s">
        <v>7</v>
      </c>
      <c r="D4" s="58"/>
      <c r="E4" s="59"/>
      <c r="F4" s="49">
        <v>1</v>
      </c>
      <c r="G4" s="50"/>
      <c r="I4" s="11"/>
      <c r="J4" s="51">
        <f ca="1">J5</f>
        <v>46118</v>
      </c>
      <c r="K4" s="52"/>
      <c r="L4" s="52"/>
      <c r="M4" s="52"/>
      <c r="N4" s="52"/>
      <c r="O4" s="52"/>
      <c r="P4" s="53"/>
      <c r="Q4" s="51">
        <f ca="1">Q5</f>
        <v>46125</v>
      </c>
      <c r="R4" s="52"/>
      <c r="S4" s="52"/>
      <c r="T4" s="52"/>
      <c r="U4" s="52"/>
      <c r="V4" s="52"/>
      <c r="W4" s="53"/>
      <c r="X4" s="51">
        <f ca="1">X5</f>
        <v>46132</v>
      </c>
      <c r="Y4" s="52"/>
      <c r="Z4" s="52"/>
      <c r="AA4" s="52"/>
      <c r="AB4" s="52"/>
      <c r="AC4" s="52"/>
      <c r="AD4" s="53"/>
      <c r="AE4" s="51">
        <f ca="1">AE5</f>
        <v>46139</v>
      </c>
      <c r="AF4" s="52"/>
      <c r="AG4" s="52"/>
      <c r="AH4" s="52"/>
      <c r="AI4" s="52"/>
      <c r="AJ4" s="52"/>
      <c r="AK4" s="53"/>
      <c r="AL4" s="51">
        <f ca="1">AL5</f>
        <v>46146</v>
      </c>
      <c r="AM4" s="52"/>
      <c r="AN4" s="52"/>
      <c r="AO4" s="52"/>
      <c r="AP4" s="52"/>
      <c r="AQ4" s="52"/>
      <c r="AR4" s="53"/>
      <c r="AS4" s="51">
        <f ca="1">AS5</f>
        <v>46153</v>
      </c>
      <c r="AT4" s="52"/>
      <c r="AU4" s="52"/>
      <c r="AV4" s="52"/>
      <c r="AW4" s="52"/>
      <c r="AX4" s="52"/>
      <c r="AY4" s="53"/>
      <c r="AZ4" s="51">
        <f ca="1">AZ5</f>
        <v>46160</v>
      </c>
      <c r="BA4" s="52"/>
      <c r="BB4" s="52"/>
      <c r="BC4" s="52"/>
      <c r="BD4" s="52"/>
      <c r="BE4" s="52"/>
      <c r="BF4" s="53"/>
      <c r="BG4" s="51">
        <f ca="1">BG5</f>
        <v>46167</v>
      </c>
      <c r="BH4" s="52"/>
      <c r="BI4" s="52"/>
      <c r="BJ4" s="52"/>
      <c r="BK4" s="52"/>
      <c r="BL4" s="52"/>
      <c r="BM4" s="53"/>
    </row>
    <row r="5" spans="1:65" ht="13.5" customHeight="1" x14ac:dyDescent="0.9">
      <c r="A5" s="24" t="s">
        <v>8</v>
      </c>
      <c r="B5" s="33"/>
      <c r="C5" s="33"/>
      <c r="D5" s="45"/>
      <c r="E5" s="33"/>
      <c r="F5" s="33"/>
      <c r="G5" s="33"/>
      <c r="H5" s="8"/>
      <c r="I5" s="11"/>
      <c r="J5" s="15">
        <f ca="1">Início_do_projeto-WEEKDAY(Início_do_projeto,1)+2+7*(Semana_de_exibição-1)</f>
        <v>46118</v>
      </c>
      <c r="K5" s="16">
        <f ca="1">J5+1</f>
        <v>46119</v>
      </c>
      <c r="L5" s="16">
        <f t="shared" ref="L5:AY5" ca="1" si="0">K5+1</f>
        <v>46120</v>
      </c>
      <c r="M5" s="16">
        <f t="shared" ca="1" si="0"/>
        <v>46121</v>
      </c>
      <c r="N5" s="16">
        <f t="shared" ca="1" si="0"/>
        <v>46122</v>
      </c>
      <c r="O5" s="16">
        <f t="shared" ca="1" si="0"/>
        <v>46123</v>
      </c>
      <c r="P5" s="17">
        <f t="shared" ca="1" si="0"/>
        <v>46124</v>
      </c>
      <c r="Q5" s="15">
        <f ca="1">P5+1</f>
        <v>46125</v>
      </c>
      <c r="R5" s="16">
        <f ca="1">Q5+1</f>
        <v>46126</v>
      </c>
      <c r="S5" s="16">
        <f t="shared" ca="1" si="0"/>
        <v>46127</v>
      </c>
      <c r="T5" s="16">
        <f t="shared" ca="1" si="0"/>
        <v>46128</v>
      </c>
      <c r="U5" s="16">
        <f t="shared" ca="1" si="0"/>
        <v>46129</v>
      </c>
      <c r="V5" s="16">
        <f t="shared" ca="1" si="0"/>
        <v>46130</v>
      </c>
      <c r="W5" s="17">
        <f t="shared" ca="1" si="0"/>
        <v>46131</v>
      </c>
      <c r="X5" s="15">
        <f ca="1">W5+1</f>
        <v>46132</v>
      </c>
      <c r="Y5" s="16">
        <f ca="1">X5+1</f>
        <v>46133</v>
      </c>
      <c r="Z5" s="16">
        <f t="shared" ca="1" si="0"/>
        <v>46134</v>
      </c>
      <c r="AA5" s="16">
        <f t="shared" ca="1" si="0"/>
        <v>46135</v>
      </c>
      <c r="AB5" s="16">
        <f t="shared" ca="1" si="0"/>
        <v>46136</v>
      </c>
      <c r="AC5" s="16">
        <f t="shared" ca="1" si="0"/>
        <v>46137</v>
      </c>
      <c r="AD5" s="17">
        <f t="shared" ca="1" si="0"/>
        <v>46138</v>
      </c>
      <c r="AE5" s="15">
        <f ca="1">AD5+1</f>
        <v>46139</v>
      </c>
      <c r="AF5" s="16">
        <f ca="1">AE5+1</f>
        <v>46140</v>
      </c>
      <c r="AG5" s="16">
        <f t="shared" ca="1" si="0"/>
        <v>46141</v>
      </c>
      <c r="AH5" s="16">
        <f t="shared" ca="1" si="0"/>
        <v>46142</v>
      </c>
      <c r="AI5" s="16">
        <f t="shared" ca="1" si="0"/>
        <v>46143</v>
      </c>
      <c r="AJ5" s="16">
        <f t="shared" ca="1" si="0"/>
        <v>46144</v>
      </c>
      <c r="AK5" s="17">
        <f t="shared" ca="1" si="0"/>
        <v>46145</v>
      </c>
      <c r="AL5" s="15">
        <f ca="1">AK5+1</f>
        <v>46146</v>
      </c>
      <c r="AM5" s="16">
        <f ca="1">AL5+1</f>
        <v>46147</v>
      </c>
      <c r="AN5" s="16">
        <f t="shared" ca="1" si="0"/>
        <v>46148</v>
      </c>
      <c r="AO5" s="16">
        <f t="shared" ca="1" si="0"/>
        <v>46149</v>
      </c>
      <c r="AP5" s="16">
        <f t="shared" ca="1" si="0"/>
        <v>46150</v>
      </c>
      <c r="AQ5" s="16">
        <f t="shared" ca="1" si="0"/>
        <v>46151</v>
      </c>
      <c r="AR5" s="17">
        <f t="shared" ca="1" si="0"/>
        <v>46152</v>
      </c>
      <c r="AS5" s="15">
        <f ca="1">AR5+1</f>
        <v>46153</v>
      </c>
      <c r="AT5" s="16">
        <f ca="1">AS5+1</f>
        <v>46154</v>
      </c>
      <c r="AU5" s="16">
        <f t="shared" ca="1" si="0"/>
        <v>46155</v>
      </c>
      <c r="AV5" s="16">
        <f t="shared" ca="1" si="0"/>
        <v>46156</v>
      </c>
      <c r="AW5" s="16">
        <f t="shared" ca="1" si="0"/>
        <v>46157</v>
      </c>
      <c r="AX5" s="16">
        <f t="shared" ca="1" si="0"/>
        <v>46158</v>
      </c>
      <c r="AY5" s="17">
        <f t="shared" ca="1" si="0"/>
        <v>46159</v>
      </c>
      <c r="AZ5" s="15">
        <f ca="1">AY5+1</f>
        <v>46160</v>
      </c>
      <c r="BA5" s="16">
        <f ca="1">AZ5+1</f>
        <v>46161</v>
      </c>
      <c r="BB5" s="16">
        <f t="shared" ref="BB5:BF5" ca="1" si="1">BA5+1</f>
        <v>46162</v>
      </c>
      <c r="BC5" s="16">
        <f t="shared" ca="1" si="1"/>
        <v>46163</v>
      </c>
      <c r="BD5" s="16">
        <f t="shared" ca="1" si="1"/>
        <v>46164</v>
      </c>
      <c r="BE5" s="16">
        <f t="shared" ca="1" si="1"/>
        <v>46165</v>
      </c>
      <c r="BF5" s="17">
        <f t="shared" ca="1" si="1"/>
        <v>46166</v>
      </c>
      <c r="BG5" s="15">
        <f ca="1">BF5+1</f>
        <v>46167</v>
      </c>
      <c r="BH5" s="16">
        <f ca="1">BG5+1</f>
        <v>46168</v>
      </c>
      <c r="BI5" s="16">
        <f t="shared" ref="BI5:BM5" ca="1" si="2">BH5+1</f>
        <v>46169</v>
      </c>
      <c r="BJ5" s="16">
        <f t="shared" ca="1" si="2"/>
        <v>46170</v>
      </c>
      <c r="BK5" s="16">
        <f t="shared" ca="1" si="2"/>
        <v>46171</v>
      </c>
      <c r="BL5" s="16">
        <f t="shared" ca="1" si="2"/>
        <v>46172</v>
      </c>
      <c r="BM5" s="17">
        <f t="shared" ca="1" si="2"/>
        <v>46173</v>
      </c>
    </row>
    <row r="6" spans="1:65" ht="30" customHeight="1" thickBot="1" x14ac:dyDescent="0.75">
      <c r="A6" s="24" t="s">
        <v>9</v>
      </c>
      <c r="B6" s="23" t="s">
        <v>10</v>
      </c>
      <c r="C6" s="18" t="s">
        <v>11</v>
      </c>
      <c r="D6" s="18" t="s">
        <v>12</v>
      </c>
      <c r="E6" s="18" t="s">
        <v>13</v>
      </c>
      <c r="F6" s="18" t="s">
        <v>14</v>
      </c>
      <c r="G6" s="18" t="s">
        <v>15</v>
      </c>
      <c r="H6" s="4"/>
      <c r="I6" s="18" t="s">
        <v>16</v>
      </c>
      <c r="J6" s="19" t="str">
        <f t="shared" ref="J6:BM6" ca="1" si="3">LEFT(TEXT(J5,"ddd"),1)</f>
        <v>s</v>
      </c>
      <c r="K6" s="19" t="str">
        <f t="shared" ca="1" si="3"/>
        <v>t</v>
      </c>
      <c r="L6" s="19" t="str">
        <f t="shared" ca="1" si="3"/>
        <v>q</v>
      </c>
      <c r="M6" s="19" t="str">
        <f t="shared" ca="1" si="3"/>
        <v>q</v>
      </c>
      <c r="N6" s="19" t="str">
        <f t="shared" ca="1" si="3"/>
        <v>s</v>
      </c>
      <c r="O6" s="19" t="str">
        <f t="shared" ca="1" si="3"/>
        <v>s</v>
      </c>
      <c r="P6" s="19" t="str">
        <f t="shared" ca="1" si="3"/>
        <v>d</v>
      </c>
      <c r="Q6" s="19" t="str">
        <f t="shared" ca="1" si="3"/>
        <v>s</v>
      </c>
      <c r="R6" s="19" t="str">
        <f t="shared" ca="1" si="3"/>
        <v>t</v>
      </c>
      <c r="S6" s="19" t="str">
        <f t="shared" ca="1" si="3"/>
        <v>q</v>
      </c>
      <c r="T6" s="19" t="str">
        <f t="shared" ca="1" si="3"/>
        <v>q</v>
      </c>
      <c r="U6" s="19" t="str">
        <f t="shared" ca="1" si="3"/>
        <v>s</v>
      </c>
      <c r="V6" s="19" t="str">
        <f t="shared" ca="1" si="3"/>
        <v>s</v>
      </c>
      <c r="W6" s="19" t="str">
        <f t="shared" ca="1" si="3"/>
        <v>d</v>
      </c>
      <c r="X6" s="19" t="str">
        <f t="shared" ca="1" si="3"/>
        <v>s</v>
      </c>
      <c r="Y6" s="19" t="str">
        <f t="shared" ca="1" si="3"/>
        <v>t</v>
      </c>
      <c r="Z6" s="19" t="str">
        <f t="shared" ca="1" si="3"/>
        <v>q</v>
      </c>
      <c r="AA6" s="19" t="str">
        <f t="shared" ca="1" si="3"/>
        <v>q</v>
      </c>
      <c r="AB6" s="19" t="str">
        <f t="shared" ca="1" si="3"/>
        <v>s</v>
      </c>
      <c r="AC6" s="19" t="str">
        <f t="shared" ca="1" si="3"/>
        <v>s</v>
      </c>
      <c r="AD6" s="19" t="str">
        <f t="shared" ca="1" si="3"/>
        <v>d</v>
      </c>
      <c r="AE6" s="19" t="str">
        <f t="shared" ca="1" si="3"/>
        <v>s</v>
      </c>
      <c r="AF6" s="19" t="str">
        <f t="shared" ca="1" si="3"/>
        <v>t</v>
      </c>
      <c r="AG6" s="19" t="str">
        <f t="shared" ca="1" si="3"/>
        <v>q</v>
      </c>
      <c r="AH6" s="19" t="str">
        <f t="shared" ca="1" si="3"/>
        <v>q</v>
      </c>
      <c r="AI6" s="19" t="str">
        <f t="shared" ca="1" si="3"/>
        <v>s</v>
      </c>
      <c r="AJ6" s="19" t="str">
        <f t="shared" ca="1" si="3"/>
        <v>s</v>
      </c>
      <c r="AK6" s="19" t="str">
        <f t="shared" ca="1" si="3"/>
        <v>d</v>
      </c>
      <c r="AL6" s="19" t="str">
        <f t="shared" ca="1" si="3"/>
        <v>s</v>
      </c>
      <c r="AM6" s="19" t="str">
        <f t="shared" ca="1" si="3"/>
        <v>t</v>
      </c>
      <c r="AN6" s="19" t="str">
        <f t="shared" ca="1" si="3"/>
        <v>q</v>
      </c>
      <c r="AO6" s="19" t="str">
        <f t="shared" ca="1" si="3"/>
        <v>q</v>
      </c>
      <c r="AP6" s="19" t="str">
        <f t="shared" ca="1" si="3"/>
        <v>s</v>
      </c>
      <c r="AQ6" s="19" t="str">
        <f t="shared" ca="1" si="3"/>
        <v>s</v>
      </c>
      <c r="AR6" s="19" t="str">
        <f t="shared" ca="1" si="3"/>
        <v>d</v>
      </c>
      <c r="AS6" s="19" t="str">
        <f t="shared" ca="1" si="3"/>
        <v>s</v>
      </c>
      <c r="AT6" s="19" t="str">
        <f t="shared" ca="1" si="3"/>
        <v>t</v>
      </c>
      <c r="AU6" s="19" t="str">
        <f t="shared" ca="1" si="3"/>
        <v>q</v>
      </c>
      <c r="AV6" s="19" t="str">
        <f t="shared" ca="1" si="3"/>
        <v>q</v>
      </c>
      <c r="AW6" s="19" t="str">
        <f t="shared" ca="1" si="3"/>
        <v>s</v>
      </c>
      <c r="AX6" s="19" t="str">
        <f t="shared" ca="1" si="3"/>
        <v>s</v>
      </c>
      <c r="AY6" s="19" t="str">
        <f t="shared" ca="1" si="3"/>
        <v>d</v>
      </c>
      <c r="AZ6" s="19" t="str">
        <f t="shared" ca="1" si="3"/>
        <v>s</v>
      </c>
      <c r="BA6" s="19" t="str">
        <f t="shared" ca="1" si="3"/>
        <v>t</v>
      </c>
      <c r="BB6" s="19" t="str">
        <f t="shared" ca="1" si="3"/>
        <v>q</v>
      </c>
      <c r="BC6" s="19" t="str">
        <f t="shared" ca="1" si="3"/>
        <v>q</v>
      </c>
      <c r="BD6" s="19" t="str">
        <f t="shared" ca="1" si="3"/>
        <v>s</v>
      </c>
      <c r="BE6" s="19" t="str">
        <f t="shared" ca="1" si="3"/>
        <v>s</v>
      </c>
      <c r="BF6" s="19" t="str">
        <f t="shared" ca="1" si="3"/>
        <v>d</v>
      </c>
      <c r="BG6" s="19" t="str">
        <f t="shared" ca="1" si="3"/>
        <v>s</v>
      </c>
      <c r="BH6" s="19" t="str">
        <f t="shared" ca="1" si="3"/>
        <v>t</v>
      </c>
      <c r="BI6" s="19" t="str">
        <f t="shared" ca="1" si="3"/>
        <v>q</v>
      </c>
      <c r="BJ6" s="19" t="str">
        <f t="shared" ca="1" si="3"/>
        <v>q</v>
      </c>
      <c r="BK6" s="19" t="str">
        <f t="shared" ca="1" si="3"/>
        <v>s</v>
      </c>
      <c r="BL6" s="19" t="str">
        <f t="shared" ca="1" si="3"/>
        <v>s</v>
      </c>
      <c r="BM6" s="19" t="str">
        <f t="shared" ca="1" si="3"/>
        <v>d</v>
      </c>
    </row>
    <row r="7" spans="1:65" ht="5.15" customHeight="1" thickBot="1" x14ac:dyDescent="0.95">
      <c r="A7" s="29" t="s">
        <v>17</v>
      </c>
      <c r="B7" s="30"/>
      <c r="C7" s="34"/>
      <c r="D7" s="46"/>
      <c r="E7" s="30"/>
      <c r="F7" s="30"/>
      <c r="G7" s="30"/>
      <c r="I7" s="11" t="str">
        <f>IF(OR(ISBLANK(Início_da_tarefa),ISBLANK(Término_da_tarefa)),"",Término_da_tarefa-Início_da_tarefa+1)</f>
        <v/>
      </c>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ht="22" customHeight="1" thickBot="1" x14ac:dyDescent="0.95">
      <c r="A8" s="29"/>
      <c r="B8" s="39" t="s">
        <v>25</v>
      </c>
      <c r="C8" s="40"/>
      <c r="D8" s="47"/>
      <c r="E8" s="41"/>
      <c r="F8" s="41"/>
      <c r="G8" s="41"/>
      <c r="H8" s="42"/>
      <c r="I8" s="11"/>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2" customFormat="1" ht="30" customHeight="1" thickBot="1" x14ac:dyDescent="0.75">
      <c r="A9" s="24" t="s">
        <v>18</v>
      </c>
      <c r="B9" s="37" t="s">
        <v>26</v>
      </c>
      <c r="C9" s="35" t="s">
        <v>27</v>
      </c>
      <c r="D9" s="48">
        <v>0</v>
      </c>
      <c r="E9" s="36">
        <v>1</v>
      </c>
      <c r="F9" s="38">
        <v>45566</v>
      </c>
      <c r="G9" s="38">
        <v>45572</v>
      </c>
      <c r="H9" s="6"/>
      <c r="I9" s="21">
        <f t="shared" ref="I9:I22" si="4">IF(OR(ISBLANK(Início_da_tarefa),ISBLANK(Término_da_tarefa)),"",Término_da_tarefa-Início_da_tarefa+1)</f>
        <v>7</v>
      </c>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2" customFormat="1" ht="30" customHeight="1" thickBot="1" x14ac:dyDescent="0.75">
      <c r="A10" s="24" t="s">
        <v>19</v>
      </c>
      <c r="B10" s="37" t="s">
        <v>28</v>
      </c>
      <c r="C10" s="35" t="s">
        <v>29</v>
      </c>
      <c r="D10" s="43">
        <v>1200</v>
      </c>
      <c r="E10" s="36">
        <v>0.6</v>
      </c>
      <c r="F10" s="38">
        <v>45573</v>
      </c>
      <c r="G10" s="38">
        <v>45580</v>
      </c>
      <c r="H10" s="6"/>
      <c r="I10" s="21">
        <f t="shared" si="4"/>
        <v>8</v>
      </c>
      <c r="J10" s="20"/>
      <c r="K10" s="20"/>
      <c r="L10" s="20"/>
      <c r="M10" s="20"/>
      <c r="N10" s="20"/>
      <c r="O10" s="20"/>
      <c r="P10" s="20"/>
      <c r="Q10" s="20"/>
      <c r="R10" s="20"/>
      <c r="S10" s="20"/>
      <c r="T10" s="20"/>
      <c r="U10" s="20"/>
      <c r="V10" s="22"/>
      <c r="W10" s="22"/>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2" customFormat="1" ht="30" customHeight="1" thickBot="1" x14ac:dyDescent="0.75">
      <c r="A11" s="29"/>
      <c r="B11" s="37" t="s">
        <v>30</v>
      </c>
      <c r="C11" s="35" t="s">
        <v>31</v>
      </c>
      <c r="D11" s="43">
        <v>5000</v>
      </c>
      <c r="E11" s="36">
        <v>0.5</v>
      </c>
      <c r="F11" s="38">
        <v>45581</v>
      </c>
      <c r="G11" s="38">
        <v>45587</v>
      </c>
      <c r="H11" s="6"/>
      <c r="I11" s="21">
        <f t="shared" si="4"/>
        <v>7</v>
      </c>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2" customFormat="1" ht="30" customHeight="1" thickBot="1" x14ac:dyDescent="0.75">
      <c r="A12" s="29"/>
      <c r="B12" s="37" t="s">
        <v>32</v>
      </c>
      <c r="C12" s="35" t="s">
        <v>33</v>
      </c>
      <c r="D12" s="43">
        <v>200</v>
      </c>
      <c r="E12" s="36">
        <v>0.25</v>
      </c>
      <c r="F12" s="38">
        <v>45588</v>
      </c>
      <c r="G12" s="38">
        <v>45595</v>
      </c>
      <c r="H12" s="6"/>
      <c r="I12" s="21">
        <f t="shared" si="4"/>
        <v>8</v>
      </c>
      <c r="J12" s="20"/>
      <c r="K12" s="20"/>
      <c r="L12" s="20"/>
      <c r="M12" s="20"/>
      <c r="N12" s="20"/>
      <c r="O12" s="20"/>
      <c r="P12" s="20"/>
      <c r="Q12" s="20"/>
      <c r="R12" s="20"/>
      <c r="S12" s="20"/>
      <c r="T12" s="20"/>
      <c r="U12" s="20"/>
      <c r="V12" s="20"/>
      <c r="W12" s="20"/>
      <c r="X12" s="20"/>
      <c r="Y12" s="20"/>
      <c r="Z12" s="22"/>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2" customFormat="1" ht="30" customHeight="1" thickBot="1" x14ac:dyDescent="0.75">
      <c r="A13" s="29"/>
      <c r="B13" s="37" t="s">
        <v>34</v>
      </c>
      <c r="C13" s="35" t="s">
        <v>35</v>
      </c>
      <c r="D13" s="43">
        <v>0</v>
      </c>
      <c r="E13" s="36">
        <v>0</v>
      </c>
      <c r="F13" s="38">
        <v>45596</v>
      </c>
      <c r="G13" s="38">
        <v>45606</v>
      </c>
      <c r="H13" s="6"/>
      <c r="I13" s="21">
        <f t="shared" si="4"/>
        <v>11</v>
      </c>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2" customFormat="1" ht="22" customHeight="1" thickBot="1" x14ac:dyDescent="0.75">
      <c r="A14" s="24" t="s">
        <v>20</v>
      </c>
      <c r="B14" s="39" t="s">
        <v>51</v>
      </c>
      <c r="C14" s="40"/>
      <c r="D14" s="47"/>
      <c r="E14" s="41"/>
      <c r="F14" s="41"/>
      <c r="G14" s="41"/>
      <c r="H14" s="42"/>
      <c r="I14" s="21" t="str">
        <f t="shared" si="4"/>
        <v/>
      </c>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2" customFormat="1" ht="30" customHeight="1" thickBot="1" x14ac:dyDescent="0.75">
      <c r="A15" s="24"/>
      <c r="B15" s="37" t="s">
        <v>36</v>
      </c>
      <c r="C15" s="35" t="s">
        <v>37</v>
      </c>
      <c r="D15" s="43">
        <v>200</v>
      </c>
      <c r="E15" s="36">
        <v>0.6</v>
      </c>
      <c r="F15" s="38">
        <v>45604</v>
      </c>
      <c r="G15" s="38">
        <v>45610</v>
      </c>
      <c r="H15" s="6"/>
      <c r="I15" s="21">
        <f t="shared" si="4"/>
        <v>7</v>
      </c>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2" customFormat="1" ht="30" customHeight="1" thickBot="1" x14ac:dyDescent="0.75">
      <c r="A16" s="29"/>
      <c r="B16" s="37" t="s">
        <v>38</v>
      </c>
      <c r="C16" s="35" t="s">
        <v>39</v>
      </c>
      <c r="D16" s="43">
        <v>300</v>
      </c>
      <c r="E16" s="36">
        <v>0.5</v>
      </c>
      <c r="F16" s="38">
        <v>45611</v>
      </c>
      <c r="G16" s="38">
        <v>45617</v>
      </c>
      <c r="H16" s="6"/>
      <c r="I16" s="21">
        <f t="shared" si="4"/>
        <v>7</v>
      </c>
      <c r="J16" s="20"/>
      <c r="K16" s="20"/>
      <c r="L16" s="20"/>
      <c r="M16" s="20"/>
      <c r="N16" s="20"/>
      <c r="O16" s="20"/>
      <c r="P16" s="20"/>
      <c r="Q16" s="20"/>
      <c r="R16" s="20"/>
      <c r="S16" s="20"/>
      <c r="T16" s="20"/>
      <c r="U16" s="20"/>
      <c r="V16" s="22"/>
      <c r="W16" s="22"/>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row>
    <row r="17" spans="1:65" s="2" customFormat="1" ht="30" customHeight="1" thickBot="1" x14ac:dyDescent="0.75">
      <c r="A17" s="29"/>
      <c r="B17" s="37" t="s">
        <v>40</v>
      </c>
      <c r="C17" s="35" t="s">
        <v>41</v>
      </c>
      <c r="D17" s="43">
        <v>1000</v>
      </c>
      <c r="E17" s="36">
        <v>0.25</v>
      </c>
      <c r="F17" s="38">
        <v>45618</v>
      </c>
      <c r="G17" s="38">
        <v>45624</v>
      </c>
      <c r="H17" s="6"/>
      <c r="I17" s="21">
        <f t="shared" si="4"/>
        <v>7</v>
      </c>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row>
    <row r="18" spans="1:65" s="2" customFormat="1" ht="30" customHeight="1" thickBot="1" x14ac:dyDescent="0.75">
      <c r="A18" s="29"/>
      <c r="B18" s="37" t="s">
        <v>42</v>
      </c>
      <c r="C18" s="35" t="s">
        <v>43</v>
      </c>
      <c r="D18" s="43">
        <v>200</v>
      </c>
      <c r="E18" s="36">
        <v>0</v>
      </c>
      <c r="F18" s="38">
        <v>45625</v>
      </c>
      <c r="G18" s="38">
        <v>45631</v>
      </c>
      <c r="H18" s="6"/>
      <c r="I18" s="21">
        <f t="shared" si="4"/>
        <v>7</v>
      </c>
      <c r="J18" s="20"/>
      <c r="K18" s="20"/>
      <c r="L18" s="20"/>
      <c r="M18" s="20"/>
      <c r="N18" s="20"/>
      <c r="O18" s="20"/>
      <c r="P18" s="20"/>
      <c r="Q18" s="20"/>
      <c r="R18" s="20"/>
      <c r="S18" s="20"/>
      <c r="T18" s="20"/>
      <c r="U18" s="20"/>
      <c r="V18" s="20"/>
      <c r="W18" s="20"/>
      <c r="X18" s="20"/>
      <c r="Y18" s="20"/>
      <c r="Z18" s="22"/>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row>
    <row r="19" spans="1:65" s="2" customFormat="1" ht="30" customHeight="1" thickBot="1" x14ac:dyDescent="0.75">
      <c r="A19" s="29"/>
      <c r="B19" s="37" t="s">
        <v>44</v>
      </c>
      <c r="C19" s="35" t="s">
        <v>45</v>
      </c>
      <c r="D19" s="43">
        <v>4000</v>
      </c>
      <c r="E19" s="36">
        <v>0</v>
      </c>
      <c r="F19" s="38">
        <v>45632</v>
      </c>
      <c r="G19" s="38">
        <v>45632</v>
      </c>
      <c r="H19" s="6"/>
      <c r="I19" s="21">
        <f t="shared" si="4"/>
        <v>1</v>
      </c>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row>
    <row r="20" spans="1:65" s="2" customFormat="1" ht="22" customHeight="1" thickBot="1" x14ac:dyDescent="0.75">
      <c r="A20" s="29" t="s">
        <v>21</v>
      </c>
      <c r="B20" s="39" t="s">
        <v>46</v>
      </c>
      <c r="C20" s="40"/>
      <c r="D20" s="47"/>
      <c r="E20" s="41"/>
      <c r="F20" s="41"/>
      <c r="G20" s="41"/>
      <c r="H20" s="42"/>
      <c r="I20" s="21" t="str">
        <f t="shared" si="4"/>
        <v/>
      </c>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65" s="2" customFormat="1" ht="30" customHeight="1" thickBot="1" x14ac:dyDescent="0.75">
      <c r="A21" s="29"/>
      <c r="B21" s="37" t="s">
        <v>47</v>
      </c>
      <c r="C21" s="35" t="s">
        <v>48</v>
      </c>
      <c r="D21" s="43">
        <v>800</v>
      </c>
      <c r="E21" s="36">
        <v>0</v>
      </c>
      <c r="F21" s="38">
        <v>45633</v>
      </c>
      <c r="G21" s="38">
        <v>45634</v>
      </c>
      <c r="H21" s="6"/>
      <c r="I21" s="21">
        <f t="shared" si="4"/>
        <v>2</v>
      </c>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row>
    <row r="22" spans="1:65" s="2" customFormat="1" ht="30" customHeight="1" thickBot="1" x14ac:dyDescent="0.75">
      <c r="A22" s="29"/>
      <c r="B22" s="37" t="s">
        <v>49</v>
      </c>
      <c r="C22" s="35" t="s">
        <v>50</v>
      </c>
      <c r="D22" s="43">
        <v>0</v>
      </c>
      <c r="E22" s="36">
        <v>0</v>
      </c>
      <c r="F22" s="38">
        <v>45635</v>
      </c>
      <c r="G22" s="38">
        <v>45636</v>
      </c>
      <c r="H22" s="6"/>
      <c r="I22" s="21">
        <f t="shared" si="4"/>
        <v>2</v>
      </c>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row>
  </sheetData>
  <mergeCells count="11">
    <mergeCell ref="AE4:AK4"/>
    <mergeCell ref="AL4:AR4"/>
    <mergeCell ref="AS4:AY4"/>
    <mergeCell ref="AZ4:BF4"/>
    <mergeCell ref="BG4:BM4"/>
    <mergeCell ref="X4:AD4"/>
    <mergeCell ref="C3:E3"/>
    <mergeCell ref="F3:G3"/>
    <mergeCell ref="C4:E4"/>
    <mergeCell ref="J4:P4"/>
    <mergeCell ref="Q4:W4"/>
  </mergeCells>
  <conditionalFormatting sqref="E7:E22">
    <cfRule type="dataBar" priority="1">
      <dataBar>
        <cfvo type="num" val="0"/>
        <cfvo type="num" val="1"/>
        <color theme="0" tint="-0.249977111117893"/>
      </dataBar>
      <extLst>
        <ext xmlns:x14="http://schemas.microsoft.com/office/spreadsheetml/2009/9/main" uri="{B025F937-C7B1-47D3-B67F-A62EFF666E3E}">
          <x14:id>{2AD09CD6-A79E-43A1-B5EC-03F6A27F18AF}</x14:id>
        </ext>
      </extLst>
    </cfRule>
  </conditionalFormatting>
  <conditionalFormatting sqref="J5:BM22">
    <cfRule type="expression" dxfId="2" priority="4">
      <formula>AND(TODAY()&gt;=J$5,TODAY()&lt;K$5)</formula>
    </cfRule>
  </conditionalFormatting>
  <conditionalFormatting sqref="J7:BM22">
    <cfRule type="expression" dxfId="1" priority="2">
      <formula>AND(Início_da_tarefa&lt;=J$5,ROUNDDOWN((Término_da_tarefa-Início_da_tarefa+1)*Progresso_da_tarefa,0)+Início_da_tarefa-1&gt;=J$5)</formula>
    </cfRule>
    <cfRule type="expression" dxfId="0" priority="3" stopIfTrue="1">
      <formula>AND(Término_da_tarefa&gt;=J$5,Início_da_tarefa&lt;K$5)</formula>
    </cfRule>
  </conditionalFormatting>
  <dataValidations count="1">
    <dataValidation type="whole" operator="greaterThanOrEqual" allowBlank="1" showInputMessage="1" promptTitle="Semana de exibição" prompt="Alterar esse número rola a exibição do Gráfico de Gantt." sqref="F4" xr:uid="{B9D2C0CC-CB29-4DD5-94E1-C50EA4089B6A}">
      <formula1>1</formula1>
    </dataValidation>
  </dataValidations>
  <printOptions horizontalCentered="1"/>
  <pageMargins left="0.35" right="0.35" top="0.35" bottom="0.5" header="0.3" footer="0.3"/>
  <pageSetup paperSize="9" scale="54" fitToHeight="0" orientation="landscape" r:id="rId1"/>
  <headerFooter differentFirst="1" scaleWithDoc="0">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2AD09CD6-A79E-43A1-B5EC-03F6A27F18AF}">
            <x14:dataBar minLength="0" maxLength="100" gradient="0">
              <x14:cfvo type="num">
                <xm:f>0</xm:f>
              </x14:cfvo>
              <x14:cfvo type="num">
                <xm:f>1</xm:f>
              </x14:cfvo>
              <x14:negativeFillColor rgb="FFFF0000"/>
              <x14:axisColor rgb="FF000000"/>
            </x14:dataBar>
          </x14:cfRule>
          <xm:sqref>E7:E22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b3b2f-5927-4b98-82b1-fea2b4072a87">
      <Terms xmlns="http://schemas.microsoft.com/office/infopath/2007/PartnerControls"/>
    </lcf76f155ced4ddcb4097134ff3c332f>
    <Curso xmlns="aacb3b2f-5927-4b98-82b1-fea2b4072a87" xsi:nil="true"/>
    <Semana xmlns="aacb3b2f-5927-4b98-82b1-fea2b4072a87" xsi:nil="true"/>
    <Ano xmlns="aacb3b2f-5927-4b98-82b1-fea2b4072a8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81252851F28942875D89D2C39F1241" ma:contentTypeVersion="18" ma:contentTypeDescription="Create a new document." ma:contentTypeScope="" ma:versionID="02da44e9013d71c9a799f15aa087fd1a">
  <xsd:schema xmlns:xsd="http://www.w3.org/2001/XMLSchema" xmlns:xs="http://www.w3.org/2001/XMLSchema" xmlns:p="http://schemas.microsoft.com/office/2006/metadata/properties" xmlns:ns2="aacb3b2f-5927-4b98-82b1-fea2b4072a87" xmlns:ns3="a45d3e5f-3e31-4187-b998-c44ee850df36" targetNamespace="http://schemas.microsoft.com/office/2006/metadata/properties" ma:root="true" ma:fieldsID="0a1e5cb7da89fe7a0e807c4c586db3c1" ns2:_="" ns3:_="">
    <xsd:import namespace="aacb3b2f-5927-4b98-82b1-fea2b4072a87"/>
    <xsd:import namespace="a45d3e5f-3e31-4187-b998-c44ee850df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Curso" minOccurs="0"/>
                <xsd:element ref="ns2:Semana" minOccurs="0"/>
                <xsd:element ref="ns2:A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b3b2f-5927-4b98-82b1-fea2b4072a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85b3961-dbc6-48b8-bc39-d3804789286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description="" ma:indexed="true" ma:internalName="MediaServiceLocation" ma:readOnly="true">
      <xsd:simpleType>
        <xsd:restriction base="dms:Text"/>
      </xsd:simpleType>
    </xsd:element>
    <xsd:element name="Curso" ma:index="22" nillable="true" ma:displayName="Curso" ma:format="Dropdown" ma:internalName="Curso">
      <xsd:simpleType>
        <xsd:restriction base="dms:Text">
          <xsd:maxLength value="255"/>
        </xsd:restriction>
      </xsd:simpleType>
    </xsd:element>
    <xsd:element name="Semana" ma:index="23" nillable="true" ma:displayName="Semana" ma:format="Dropdown" ma:internalName="Semana">
      <xsd:simpleType>
        <xsd:restriction base="dms:Text">
          <xsd:maxLength value="255"/>
        </xsd:restriction>
      </xsd:simpleType>
    </xsd:element>
    <xsd:element name="Ano" ma:index="24" nillable="true" ma:displayName="Ano" ma:format="Dropdown" ma:internalName="An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5d3e5f-3e31-4187-b998-c44ee850df3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aacb3b2f-5927-4b98-82b1-fea2b4072a87"/>
  </ds:schemaRefs>
</ds:datastoreItem>
</file>

<file path=customXml/itemProps2.xml><?xml version="1.0" encoding="utf-8"?>
<ds:datastoreItem xmlns:ds="http://schemas.openxmlformats.org/officeDocument/2006/customXml" ds:itemID="{6C643485-BEB8-41E6-AF75-50BF90886D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b3b2f-5927-4b98-82b1-fea2b4072a87"/>
    <ds:schemaRef ds:uri="a45d3e5f-3e31-4187-b998-c44ee850df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12</vt:i4>
      </vt:variant>
    </vt:vector>
  </HeadingPairs>
  <TitlesOfParts>
    <vt:vector size="14" baseType="lpstr">
      <vt:lpstr>Cronograma</vt:lpstr>
      <vt:lpstr>Exemplo aplicado</vt:lpstr>
      <vt:lpstr>Cronograma!Início_da_tarefa</vt:lpstr>
      <vt:lpstr>'Exemplo aplicado'!Início_da_tarefa</vt:lpstr>
      <vt:lpstr>Cronograma!Início_do_projeto</vt:lpstr>
      <vt:lpstr>'Exemplo aplicado'!Início_do_projeto</vt:lpstr>
      <vt:lpstr>Cronograma!Progresso_da_tarefa</vt:lpstr>
      <vt:lpstr>'Exemplo aplicado'!Progresso_da_tarefa</vt:lpstr>
      <vt:lpstr>Cronograma!Semana_de_exibição</vt:lpstr>
      <vt:lpstr>'Exemplo aplicado'!Semana_de_exibição</vt:lpstr>
      <vt:lpstr>Cronograma!Término_da_tarefa</vt:lpstr>
      <vt:lpstr>'Exemplo aplicado'!Término_da_tarefa</vt:lpstr>
      <vt:lpstr>Cronograma!Titulos_de_impressao</vt:lpstr>
      <vt:lpstr>'Exemplo aplicado'!Titulos_de_impressao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2026-04-07T15:04:18Z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0x0101004B81252851F28942875D89D2C39F1241</vt:lpwstr>
  </property>
  <property fmtid="{D5CDD505-2E9C-101B-9397-08002B2CF9AE}" pid="3" name="MediaServiceImageTags">
    <vt:lpwstr/>
  </property>
</Properties>
</file>